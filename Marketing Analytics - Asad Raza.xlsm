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MC\Documents\Atomp Camp Assignments\"/>
    </mc:Choice>
  </mc:AlternateContent>
  <bookViews>
    <workbookView xWindow="-120" yWindow="-120" windowWidth="19420" windowHeight="11020" tabRatio="761" firstSheet="8" activeTab="12"/>
  </bookViews>
  <sheets>
    <sheet name="Introduction" sheetId="47" r:id="rId1"/>
    <sheet name="PPC Data" sheetId="44" r:id="rId2"/>
    <sheet name="1.1 PPC Analyis" sheetId="35" r:id="rId3"/>
    <sheet name="Lead Data" sheetId="36" r:id="rId4"/>
    <sheet name="Survey Data" sheetId="50" r:id="rId5"/>
    <sheet name="1.2 Customer Analysis" sheetId="51" r:id="rId6"/>
    <sheet name="1.3 NPS" sheetId="49" r:id="rId7"/>
    <sheet name="1.4 Survey Analysis" sheetId="52" r:id="rId8"/>
    <sheet name="1.5 Ad Channel Data" sheetId="54" r:id="rId9"/>
    <sheet name="1.5 Projections" sheetId="53" r:id="rId10"/>
    <sheet name="Pivots" sheetId="58" r:id="rId11"/>
    <sheet name="Dashboard" sheetId="56" r:id="rId12"/>
    <sheet name="Visualization" sheetId="59" r:id="rId13"/>
  </sheets>
  <externalReferences>
    <externalReference r:id="rId14"/>
  </externalReferences>
  <definedNames>
    <definedName name="_xlnm._FilterDatabase" localSheetId="8" hidden="1">'1.5 Ad Channel Data'!$B$5:$G$9</definedName>
    <definedName name="_xlnm._FilterDatabase" localSheetId="3" hidden="1">'Lead Data'!$B$5:$L$781</definedName>
    <definedName name="_xlnm._FilterDatabase" localSheetId="1" hidden="1">'PPC Data'!$B$5:$O$5</definedName>
    <definedName name="_xlnm._FilterDatabase" localSheetId="4" hidden="1">'Survey Data'!$B$5:$H$197</definedName>
    <definedName name="ADWORDS_CONVERSIONS">'PPC Data'!$I:$I</definedName>
    <definedName name="Age">'Survey Data'!$C$6:$C$197</definedName>
    <definedName name="agegroups">'Survey Data'!$D$5</definedName>
    <definedName name="AW_Campaign">'PPC Data'!$C:$C</definedName>
    <definedName name="AW_Clicks">'PPC Data'!$E:$E</definedName>
    <definedName name="AW_Conf">'PPC Data'!$G:$G</definedName>
    <definedName name="AW_Cong">'PPC Data'!$G:$G</definedName>
    <definedName name="AW_Conversions">'PPC Data'!$H:$H</definedName>
    <definedName name="AW_Cost">'PPC Data'!$F:$F</definedName>
    <definedName name="AW_CTR">'PPC Data'!$G:$G</definedName>
    <definedName name="AW_Impressions">'PPC Data'!$D:$D</definedName>
    <definedName name="Date">'PPC Data'!$B:$B</definedName>
    <definedName name="days_to_purchase">'Lead Data'!$M:$M</definedName>
    <definedName name="FB_Campaign">'PPC Data'!$J:$J</definedName>
    <definedName name="FB_Clicks">'PPC Data'!$L:$L</definedName>
    <definedName name="FB_Conversions">'PPC Data'!$O:$O</definedName>
    <definedName name="FB_Cost">'PPC Data'!$M:$M</definedName>
    <definedName name="FB_Impressions">'PPC Data'!$K:$K</definedName>
    <definedName name="Lead_Source">'Lead Data'!$C:$C</definedName>
    <definedName name="Promoter_Score">'Survey Data'!$E:$E</definedName>
    <definedName name="Purchases">'Lead Data'!$L:$L</definedName>
    <definedName name="Scenario">'1.5 Projections'!$C$15</definedName>
    <definedName name="Survey_Lead_Source">'Survey Data'!$B$6:$B$197</definedName>
    <definedName name="touch_points">'Lead Data'!$N$6</definedName>
    <definedName name="Touch_Pts">'Lead Data'!#REF!</definedName>
    <definedName name="TouchPoints">'Lead Data'!$N:$N</definedName>
    <definedName name="Trans_Time">'Lead Data'!#REF!</definedName>
  </definedNames>
  <calcPr calcId="152511"/>
  <pivotCaches>
    <pivotCache cacheId="1" r:id="rId1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59" l="1"/>
  <c r="E5" i="59"/>
  <c r="O5" i="59"/>
  <c r="M5" i="59"/>
  <c r="K5" i="59"/>
  <c r="I5" i="59"/>
  <c r="C5" i="59"/>
  <c r="A5" i="59"/>
  <c r="G22" i="56"/>
  <c r="G21" i="56"/>
  <c r="C42" i="53"/>
  <c r="E21" i="56"/>
  <c r="E22" i="56"/>
  <c r="E23" i="56"/>
  <c r="E20" i="56"/>
  <c r="C22" i="56"/>
  <c r="C23" i="56"/>
  <c r="C21" i="56"/>
  <c r="C20" i="56"/>
  <c r="D30" i="56"/>
  <c r="E30" i="56"/>
  <c r="F43" i="53"/>
  <c r="F42" i="53"/>
  <c r="AA42" i="53"/>
  <c r="E114" i="53"/>
  <c r="D27" i="56"/>
  <c r="F15" i="56"/>
  <c r="F14" i="56"/>
  <c r="F13" i="56"/>
  <c r="F12" i="56"/>
  <c r="F11" i="56"/>
  <c r="F10" i="56"/>
  <c r="F9" i="56"/>
  <c r="F8" i="56"/>
  <c r="F7" i="56"/>
  <c r="D7" i="56"/>
  <c r="C71" i="53"/>
  <c r="C57" i="53"/>
  <c r="C52" i="53"/>
  <c r="J6" i="54"/>
  <c r="F25" i="53"/>
  <c r="F24" i="53"/>
  <c r="F23" i="53"/>
  <c r="E22" i="53"/>
  <c r="C44" i="53"/>
  <c r="C43" i="53"/>
  <c r="F29" i="53"/>
  <c r="D43" i="53" s="1"/>
  <c r="E43" i="53" s="1"/>
  <c r="G43" i="53" s="1"/>
  <c r="H43" i="53" s="1"/>
  <c r="I43" i="53" s="1"/>
  <c r="J43" i="53" s="1"/>
  <c r="K43" i="53" s="1"/>
  <c r="L43" i="53" s="1"/>
  <c r="M43" i="53" s="1"/>
  <c r="N43" i="53" s="1"/>
  <c r="O43" i="53" s="1"/>
  <c r="P43" i="53" s="1"/>
  <c r="Q43" i="53" s="1"/>
  <c r="R43" i="53" s="1"/>
  <c r="S43" i="53" s="1"/>
  <c r="T43" i="53" s="1"/>
  <c r="U43" i="53" s="1"/>
  <c r="V43" i="53" s="1"/>
  <c r="W43" i="53" s="1"/>
  <c r="X43" i="53" s="1"/>
  <c r="Y43" i="53" s="1"/>
  <c r="Z43" i="53" s="1"/>
  <c r="AA43" i="53" s="1"/>
  <c r="F30" i="53"/>
  <c r="D44" i="53" s="1"/>
  <c r="E44" i="53" s="1"/>
  <c r="F44" i="53" s="1"/>
  <c r="G44" i="53" s="1"/>
  <c r="H44" i="53" s="1"/>
  <c r="I44" i="53" s="1"/>
  <c r="J44" i="53" s="1"/>
  <c r="K44" i="53" s="1"/>
  <c r="L44" i="53" s="1"/>
  <c r="M44" i="53" s="1"/>
  <c r="N44" i="53" s="1"/>
  <c r="O44" i="53" s="1"/>
  <c r="P44" i="53" s="1"/>
  <c r="Q44" i="53" s="1"/>
  <c r="R44" i="53" s="1"/>
  <c r="S44" i="53" s="1"/>
  <c r="T44" i="53" s="1"/>
  <c r="U44" i="53" s="1"/>
  <c r="V44" i="53" s="1"/>
  <c r="W44" i="53" s="1"/>
  <c r="X44" i="53" s="1"/>
  <c r="Y44" i="53" s="1"/>
  <c r="Z44" i="53" s="1"/>
  <c r="AA44" i="53" s="1"/>
  <c r="F28" i="53"/>
  <c r="D42" i="53" s="1"/>
  <c r="E42" i="53" s="1"/>
  <c r="L23" i="53"/>
  <c r="L24" i="53"/>
  <c r="L25" i="53"/>
  <c r="L22" i="53"/>
  <c r="H23" i="53"/>
  <c r="I23" i="53" s="1"/>
  <c r="H24" i="53"/>
  <c r="I24" i="53" s="1"/>
  <c r="H25" i="53"/>
  <c r="I25" i="53" s="1"/>
  <c r="E23" i="53"/>
  <c r="E24" i="53"/>
  <c r="E25" i="53"/>
  <c r="J22" i="53"/>
  <c r="J23" i="53"/>
  <c r="J24" i="53"/>
  <c r="J25" i="53"/>
  <c r="F21" i="54"/>
  <c r="F22" i="54" s="1"/>
  <c r="D22" i="54"/>
  <c r="E22" i="54"/>
  <c r="C22" i="54"/>
  <c r="D20" i="54"/>
  <c r="E20" i="54"/>
  <c r="F20" i="54"/>
  <c r="C20" i="54"/>
  <c r="D17" i="54"/>
  <c r="E17" i="54"/>
  <c r="F17" i="54"/>
  <c r="C17" i="54"/>
  <c r="G54" i="53" l="1"/>
  <c r="K54" i="53"/>
  <c r="O54" i="53"/>
  <c r="S54" i="53"/>
  <c r="W54" i="53"/>
  <c r="AA54" i="53"/>
  <c r="N54" i="53"/>
  <c r="Z54" i="53"/>
  <c r="H54" i="53"/>
  <c r="L54" i="53"/>
  <c r="P54" i="53"/>
  <c r="T54" i="53"/>
  <c r="X54" i="53"/>
  <c r="D54" i="53"/>
  <c r="J54" i="53"/>
  <c r="V54" i="53"/>
  <c r="E54" i="53"/>
  <c r="I54" i="53"/>
  <c r="M54" i="53"/>
  <c r="Q54" i="53"/>
  <c r="U54" i="53"/>
  <c r="Y54" i="53"/>
  <c r="F54" i="53"/>
  <c r="R54" i="53"/>
  <c r="E69" i="53"/>
  <c r="Q70" i="53" s="1"/>
  <c r="D69" i="53"/>
  <c r="D9" i="56"/>
  <c r="M28" i="35"/>
  <c r="M29" i="35"/>
  <c r="M27" i="35"/>
  <c r="G28" i="35"/>
  <c r="G29" i="35"/>
  <c r="G30" i="35" s="1"/>
  <c r="G27" i="35"/>
  <c r="P70" i="53" l="1"/>
  <c r="D71" i="53"/>
  <c r="E71" i="53" s="1"/>
  <c r="D56" i="53"/>
  <c r="G42" i="53"/>
  <c r="F69" i="53"/>
  <c r="R70" i="53" s="1"/>
  <c r="M30" i="35"/>
  <c r="D57" i="53" l="1"/>
  <c r="E56" i="53"/>
  <c r="G69" i="53"/>
  <c r="S70" i="53" s="1"/>
  <c r="H42" i="53"/>
  <c r="F71" i="53"/>
  <c r="D6" i="50"/>
  <c r="M7" i="36"/>
  <c r="N6" i="36"/>
  <c r="D27" i="35"/>
  <c r="E18" i="35"/>
  <c r="E21" i="35" s="1"/>
  <c r="E17" i="35"/>
  <c r="E19" i="35" s="1"/>
  <c r="E16" i="35"/>
  <c r="F15" i="35"/>
  <c r="F16" i="35"/>
  <c r="E15" i="35"/>
  <c r="E20" i="35" s="1"/>
  <c r="I42" i="53" l="1"/>
  <c r="H69" i="53"/>
  <c r="T70" i="53" s="1"/>
  <c r="E57" i="53"/>
  <c r="F56" i="53"/>
  <c r="G71" i="53"/>
  <c r="D15" i="35"/>
  <c r="F57" i="53" l="1"/>
  <c r="G56" i="53"/>
  <c r="H71" i="53"/>
  <c r="J42" i="53"/>
  <c r="I69" i="53"/>
  <c r="U70" i="53" s="1"/>
  <c r="J8" i="54"/>
  <c r="J9" i="54"/>
  <c r="I8" i="54"/>
  <c r="G8" i="54"/>
  <c r="G9" i="54"/>
  <c r="E8" i="54"/>
  <c r="E9" i="54"/>
  <c r="D29" i="52"/>
  <c r="D34" i="51" s="1"/>
  <c r="E29" i="52"/>
  <c r="E34" i="51" s="1"/>
  <c r="N8" i="36"/>
  <c r="N11" i="36"/>
  <c r="N9" i="36"/>
  <c r="N7" i="36"/>
  <c r="D13" i="51"/>
  <c r="E12" i="51"/>
  <c r="E31" i="51" s="1"/>
  <c r="D12" i="51"/>
  <c r="D31" i="51" s="1"/>
  <c r="D33" i="51" s="1"/>
  <c r="D36" i="51" s="1"/>
  <c r="E9" i="51"/>
  <c r="D9" i="51"/>
  <c r="D8" i="51"/>
  <c r="F8" i="51"/>
  <c r="F9" i="51"/>
  <c r="F12" i="51"/>
  <c r="E8" i="51"/>
  <c r="E14" i="51" s="1"/>
  <c r="E21" i="49"/>
  <c r="F29" i="52"/>
  <c r="F34" i="51" s="1"/>
  <c r="F21" i="49"/>
  <c r="D21" i="49"/>
  <c r="D8" i="50"/>
  <c r="D15" i="50"/>
  <c r="D17" i="50"/>
  <c r="D18" i="50"/>
  <c r="D20" i="50"/>
  <c r="D23" i="50"/>
  <c r="D25" i="50"/>
  <c r="D96" i="50"/>
  <c r="D98" i="50"/>
  <c r="D112" i="50"/>
  <c r="D115" i="50"/>
  <c r="D120" i="50"/>
  <c r="D135" i="50"/>
  <c r="N10" i="36"/>
  <c r="N12" i="36"/>
  <c r="N13" i="36"/>
  <c r="N14" i="36"/>
  <c r="N15" i="36"/>
  <c r="N16" i="36"/>
  <c r="N17" i="36"/>
  <c r="N18" i="36"/>
  <c r="N19" i="36"/>
  <c r="N20" i="36"/>
  <c r="N21" i="36"/>
  <c r="N22" i="36"/>
  <c r="N23" i="36"/>
  <c r="N24" i="36"/>
  <c r="N25" i="36"/>
  <c r="N26" i="36"/>
  <c r="N27" i="36"/>
  <c r="N28" i="36"/>
  <c r="N29" i="36"/>
  <c r="N30" i="36"/>
  <c r="N31" i="36"/>
  <c r="N32" i="36"/>
  <c r="N33" i="36"/>
  <c r="N34" i="36"/>
  <c r="N35" i="36"/>
  <c r="N36" i="36"/>
  <c r="N37" i="36"/>
  <c r="N38" i="36"/>
  <c r="N39" i="36"/>
  <c r="N40" i="36"/>
  <c r="N41" i="36"/>
  <c r="N42" i="36"/>
  <c r="N43" i="36"/>
  <c r="N44" i="36"/>
  <c r="N45" i="36"/>
  <c r="N46" i="36"/>
  <c r="N47" i="36"/>
  <c r="N48" i="36"/>
  <c r="N49" i="36"/>
  <c r="N50" i="36"/>
  <c r="N51" i="36"/>
  <c r="N52" i="36"/>
  <c r="N53" i="36"/>
  <c r="N54" i="36"/>
  <c r="N55" i="36"/>
  <c r="N56" i="36"/>
  <c r="N57" i="36"/>
  <c r="N58" i="36"/>
  <c r="N59" i="36"/>
  <c r="N60" i="36"/>
  <c r="N61" i="36"/>
  <c r="N62" i="36"/>
  <c r="N63" i="36"/>
  <c r="N64" i="36"/>
  <c r="N65" i="36"/>
  <c r="N66" i="36"/>
  <c r="N67" i="36"/>
  <c r="N68" i="36"/>
  <c r="N69" i="36"/>
  <c r="N70" i="36"/>
  <c r="N71" i="36"/>
  <c r="N72" i="36"/>
  <c r="N73" i="36"/>
  <c r="N74" i="36"/>
  <c r="N75" i="36"/>
  <c r="N76" i="36"/>
  <c r="N77" i="36"/>
  <c r="N78" i="36"/>
  <c r="N79" i="36"/>
  <c r="N80" i="36"/>
  <c r="N81" i="36"/>
  <c r="N82" i="36"/>
  <c r="N83" i="36"/>
  <c r="N84" i="36"/>
  <c r="N85" i="36"/>
  <c r="N86" i="36"/>
  <c r="N87" i="36"/>
  <c r="N88" i="36"/>
  <c r="N89" i="36"/>
  <c r="N90" i="36"/>
  <c r="N91" i="36"/>
  <c r="N92" i="36"/>
  <c r="N93" i="36"/>
  <c r="N94" i="36"/>
  <c r="N95" i="36"/>
  <c r="N96" i="36"/>
  <c r="N97" i="36"/>
  <c r="N98" i="36"/>
  <c r="N99" i="36"/>
  <c r="N100" i="36"/>
  <c r="N101" i="36"/>
  <c r="N102" i="36"/>
  <c r="N103" i="36"/>
  <c r="N104" i="36"/>
  <c r="N105" i="36"/>
  <c r="N106" i="36"/>
  <c r="N107" i="36"/>
  <c r="N108" i="36"/>
  <c r="N109" i="36"/>
  <c r="N110" i="36"/>
  <c r="N111" i="36"/>
  <c r="N112" i="36"/>
  <c r="N113" i="36"/>
  <c r="N114" i="36"/>
  <c r="N115" i="36"/>
  <c r="N116" i="36"/>
  <c r="N117" i="36"/>
  <c r="N118" i="36"/>
  <c r="N119" i="36"/>
  <c r="N120" i="36"/>
  <c r="N121" i="36"/>
  <c r="N122" i="36"/>
  <c r="N123" i="36"/>
  <c r="N124" i="36"/>
  <c r="N125" i="36"/>
  <c r="N126" i="36"/>
  <c r="N127" i="36"/>
  <c r="N128" i="36"/>
  <c r="N129" i="36"/>
  <c r="N130" i="36"/>
  <c r="N131" i="36"/>
  <c r="N132" i="36"/>
  <c r="N133" i="36"/>
  <c r="N134" i="36"/>
  <c r="N135" i="36"/>
  <c r="N136" i="36"/>
  <c r="N137" i="36"/>
  <c r="N138" i="36"/>
  <c r="N139" i="36"/>
  <c r="N140" i="36"/>
  <c r="N141" i="36"/>
  <c r="N142" i="36"/>
  <c r="N143" i="36"/>
  <c r="N144" i="36"/>
  <c r="N145" i="36"/>
  <c r="N146" i="36"/>
  <c r="N147" i="36"/>
  <c r="N148" i="36"/>
  <c r="N149" i="36"/>
  <c r="N150" i="36"/>
  <c r="N151" i="36"/>
  <c r="N152" i="36"/>
  <c r="N153" i="36"/>
  <c r="N154" i="36"/>
  <c r="N155" i="36"/>
  <c r="N156" i="36"/>
  <c r="N157" i="36"/>
  <c r="N158" i="36"/>
  <c r="N159" i="36"/>
  <c r="N160" i="36"/>
  <c r="N161" i="36"/>
  <c r="N162" i="36"/>
  <c r="N163" i="36"/>
  <c r="N164" i="36"/>
  <c r="N165" i="36"/>
  <c r="N166" i="36"/>
  <c r="N167" i="36"/>
  <c r="N168" i="36"/>
  <c r="N169" i="36"/>
  <c r="N170" i="36"/>
  <c r="N171" i="36"/>
  <c r="N172" i="36"/>
  <c r="N173" i="36"/>
  <c r="N174" i="36"/>
  <c r="N175" i="36"/>
  <c r="N176" i="36"/>
  <c r="N177" i="36"/>
  <c r="N178" i="36"/>
  <c r="N179" i="36"/>
  <c r="N180" i="36"/>
  <c r="N181" i="36"/>
  <c r="N182" i="36"/>
  <c r="N183" i="36"/>
  <c r="N184" i="36"/>
  <c r="N185" i="36"/>
  <c r="N186" i="36"/>
  <c r="N187" i="36"/>
  <c r="N188" i="36"/>
  <c r="N189" i="36"/>
  <c r="N190" i="36"/>
  <c r="N191" i="36"/>
  <c r="N192" i="36"/>
  <c r="N193" i="36"/>
  <c r="N194" i="36"/>
  <c r="N195" i="36"/>
  <c r="N196" i="36"/>
  <c r="N197" i="36"/>
  <c r="N198" i="36"/>
  <c r="N199" i="36"/>
  <c r="N200" i="36"/>
  <c r="N201" i="36"/>
  <c r="N202" i="36"/>
  <c r="N203" i="36"/>
  <c r="N204" i="36"/>
  <c r="N205" i="36"/>
  <c r="N206" i="36"/>
  <c r="N207" i="36"/>
  <c r="N208" i="36"/>
  <c r="N209" i="36"/>
  <c r="N210" i="36"/>
  <c r="N211" i="36"/>
  <c r="N212" i="36"/>
  <c r="N213" i="36"/>
  <c r="N214" i="36"/>
  <c r="N215" i="36"/>
  <c r="N216" i="36"/>
  <c r="N217" i="36"/>
  <c r="N218" i="36"/>
  <c r="N219" i="36"/>
  <c r="N220" i="36"/>
  <c r="N221" i="36"/>
  <c r="N222" i="36"/>
  <c r="N223" i="36"/>
  <c r="N224" i="36"/>
  <c r="N225" i="36"/>
  <c r="N226" i="36"/>
  <c r="N227" i="36"/>
  <c r="N228" i="36"/>
  <c r="N229" i="36"/>
  <c r="N230" i="36"/>
  <c r="N231" i="36"/>
  <c r="N232" i="36"/>
  <c r="N233" i="36"/>
  <c r="N234" i="36"/>
  <c r="N235" i="36"/>
  <c r="N236" i="36"/>
  <c r="N237" i="36"/>
  <c r="N238" i="36"/>
  <c r="N239" i="36"/>
  <c r="N240" i="36"/>
  <c r="N241" i="36"/>
  <c r="N242" i="36"/>
  <c r="N243" i="36"/>
  <c r="N244" i="36"/>
  <c r="N245" i="36"/>
  <c r="N246" i="36"/>
  <c r="N247" i="36"/>
  <c r="N248" i="36"/>
  <c r="N249" i="36"/>
  <c r="N250" i="36"/>
  <c r="N251" i="36"/>
  <c r="N252" i="36"/>
  <c r="N253" i="36"/>
  <c r="N254" i="36"/>
  <c r="N255" i="36"/>
  <c r="N256" i="36"/>
  <c r="N257" i="36"/>
  <c r="N258" i="36"/>
  <c r="N259" i="36"/>
  <c r="N260" i="36"/>
  <c r="N261" i="36"/>
  <c r="N262" i="36"/>
  <c r="N263" i="36"/>
  <c r="N264" i="36"/>
  <c r="N265" i="36"/>
  <c r="N266" i="36"/>
  <c r="N267" i="36"/>
  <c r="N268" i="36"/>
  <c r="N269" i="36"/>
  <c r="N270" i="36"/>
  <c r="N271" i="36"/>
  <c r="N272" i="36"/>
  <c r="N273" i="36"/>
  <c r="N274" i="36"/>
  <c r="N275" i="36"/>
  <c r="N276" i="36"/>
  <c r="N277" i="36"/>
  <c r="N278" i="36"/>
  <c r="N279" i="36"/>
  <c r="N280" i="36"/>
  <c r="N281" i="36"/>
  <c r="N282" i="36"/>
  <c r="N283" i="36"/>
  <c r="N284" i="36"/>
  <c r="N285" i="36"/>
  <c r="N286" i="36"/>
  <c r="N287" i="36"/>
  <c r="N288" i="36"/>
  <c r="N289" i="36"/>
  <c r="N290" i="36"/>
  <c r="N291" i="36"/>
  <c r="N292" i="36"/>
  <c r="N293" i="36"/>
  <c r="N294" i="36"/>
  <c r="N295" i="36"/>
  <c r="M8" i="36"/>
  <c r="M9" i="36"/>
  <c r="M10" i="36"/>
  <c r="M11" i="36"/>
  <c r="M12" i="36"/>
  <c r="M13" i="36"/>
  <c r="M14" i="36"/>
  <c r="M15" i="36"/>
  <c r="M16" i="36"/>
  <c r="M17" i="36"/>
  <c r="M18" i="36"/>
  <c r="M19" i="36"/>
  <c r="M20" i="36"/>
  <c r="M21" i="36"/>
  <c r="M22" i="36"/>
  <c r="M23" i="36"/>
  <c r="M24" i="36"/>
  <c r="M25" i="36"/>
  <c r="M26" i="36"/>
  <c r="M27" i="36"/>
  <c r="M28" i="36"/>
  <c r="M29" i="36"/>
  <c r="M30" i="36"/>
  <c r="M31" i="36"/>
  <c r="M32" i="36"/>
  <c r="M33" i="36"/>
  <c r="M34" i="36"/>
  <c r="M35" i="36"/>
  <c r="M36" i="36"/>
  <c r="M37" i="36"/>
  <c r="M38" i="36"/>
  <c r="M39" i="36"/>
  <c r="M40" i="36"/>
  <c r="M41" i="36"/>
  <c r="M42" i="36"/>
  <c r="M43" i="36"/>
  <c r="M44" i="36"/>
  <c r="M45" i="36"/>
  <c r="M46" i="36"/>
  <c r="M47" i="36"/>
  <c r="M48" i="36"/>
  <c r="M49" i="36"/>
  <c r="M50" i="36"/>
  <c r="M51" i="36"/>
  <c r="M52" i="36"/>
  <c r="M53" i="36"/>
  <c r="M54" i="36"/>
  <c r="M55" i="36"/>
  <c r="M56" i="36"/>
  <c r="M57" i="36"/>
  <c r="M58" i="36"/>
  <c r="M59" i="36"/>
  <c r="M60" i="36"/>
  <c r="M61" i="36"/>
  <c r="M62" i="36"/>
  <c r="M63" i="36"/>
  <c r="M64" i="36"/>
  <c r="M65" i="36"/>
  <c r="M66" i="36"/>
  <c r="M67" i="36"/>
  <c r="M68" i="36"/>
  <c r="M69" i="36"/>
  <c r="M70" i="36"/>
  <c r="M71" i="36"/>
  <c r="M72" i="36"/>
  <c r="M73" i="36"/>
  <c r="M74" i="36"/>
  <c r="M75" i="36"/>
  <c r="M76" i="36"/>
  <c r="M77" i="36"/>
  <c r="M78" i="36"/>
  <c r="M79" i="36"/>
  <c r="M80" i="36"/>
  <c r="M81" i="36"/>
  <c r="M82" i="36"/>
  <c r="M83" i="36"/>
  <c r="M84" i="36"/>
  <c r="M85" i="36"/>
  <c r="M86" i="36"/>
  <c r="M87" i="36"/>
  <c r="M88" i="36"/>
  <c r="M89" i="36"/>
  <c r="M90" i="36"/>
  <c r="M91" i="36"/>
  <c r="M92" i="36"/>
  <c r="M93" i="36"/>
  <c r="M94" i="36"/>
  <c r="M95" i="36"/>
  <c r="M96" i="36"/>
  <c r="M97" i="36"/>
  <c r="M98" i="36"/>
  <c r="M99" i="36"/>
  <c r="M100" i="36"/>
  <c r="M101" i="36"/>
  <c r="M102" i="36"/>
  <c r="M103" i="36"/>
  <c r="M104" i="36"/>
  <c r="M105" i="36"/>
  <c r="M106" i="36"/>
  <c r="M107" i="36"/>
  <c r="M108" i="36"/>
  <c r="M109" i="36"/>
  <c r="M110" i="36"/>
  <c r="M111" i="36"/>
  <c r="M112" i="36"/>
  <c r="M113" i="36"/>
  <c r="M114" i="36"/>
  <c r="M115" i="36"/>
  <c r="M116" i="36"/>
  <c r="M117" i="36"/>
  <c r="M118" i="36"/>
  <c r="M119" i="36"/>
  <c r="M120" i="36"/>
  <c r="M121" i="36"/>
  <c r="M122" i="36"/>
  <c r="M123" i="36"/>
  <c r="M124" i="36"/>
  <c r="M125" i="36"/>
  <c r="M126" i="36"/>
  <c r="M127" i="36"/>
  <c r="M128" i="36"/>
  <c r="M129" i="36"/>
  <c r="M130" i="36"/>
  <c r="M131" i="36"/>
  <c r="M132" i="36"/>
  <c r="M133" i="36"/>
  <c r="M134" i="36"/>
  <c r="M135" i="36"/>
  <c r="M136" i="36"/>
  <c r="M137" i="36"/>
  <c r="M138" i="36"/>
  <c r="M139" i="36"/>
  <c r="M140" i="36"/>
  <c r="M141" i="36"/>
  <c r="M142" i="36"/>
  <c r="M143" i="36"/>
  <c r="M144" i="36"/>
  <c r="M145" i="36"/>
  <c r="M146" i="36"/>
  <c r="M147" i="36"/>
  <c r="M148" i="36"/>
  <c r="M149" i="36"/>
  <c r="M150" i="36"/>
  <c r="M151" i="36"/>
  <c r="M152" i="36"/>
  <c r="M153" i="36"/>
  <c r="M154" i="36"/>
  <c r="M155" i="36"/>
  <c r="M156" i="36"/>
  <c r="M157" i="36"/>
  <c r="M158" i="36"/>
  <c r="M159" i="36"/>
  <c r="M160" i="36"/>
  <c r="M161" i="36"/>
  <c r="M162" i="36"/>
  <c r="M163" i="36"/>
  <c r="M164" i="36"/>
  <c r="M165" i="36"/>
  <c r="M166" i="36"/>
  <c r="M167" i="36"/>
  <c r="M168" i="36"/>
  <c r="M169" i="36"/>
  <c r="M170" i="36"/>
  <c r="M171" i="36"/>
  <c r="M172" i="36"/>
  <c r="M173" i="36"/>
  <c r="M174" i="36"/>
  <c r="M175" i="36"/>
  <c r="M176" i="36"/>
  <c r="M177" i="36"/>
  <c r="M178" i="36"/>
  <c r="M179" i="36"/>
  <c r="M180" i="36"/>
  <c r="M181" i="36"/>
  <c r="M182" i="36"/>
  <c r="M183" i="36"/>
  <c r="M184" i="36"/>
  <c r="M185" i="36"/>
  <c r="M186" i="36"/>
  <c r="M187" i="36"/>
  <c r="M188" i="36"/>
  <c r="M189" i="36"/>
  <c r="M190" i="36"/>
  <c r="M191" i="36"/>
  <c r="M192" i="36"/>
  <c r="M193" i="36"/>
  <c r="M194" i="36"/>
  <c r="M195" i="36"/>
  <c r="M196" i="36"/>
  <c r="M197" i="36"/>
  <c r="M198" i="36"/>
  <c r="M199" i="36"/>
  <c r="M200" i="36"/>
  <c r="M201" i="36"/>
  <c r="M202" i="36"/>
  <c r="M203" i="36"/>
  <c r="M204" i="36"/>
  <c r="M205" i="36"/>
  <c r="M206" i="36"/>
  <c r="M207" i="36"/>
  <c r="M208" i="36"/>
  <c r="M209" i="36"/>
  <c r="M210" i="36"/>
  <c r="M211" i="36"/>
  <c r="M212" i="36"/>
  <c r="M213" i="36"/>
  <c r="M214" i="36"/>
  <c r="M215" i="36"/>
  <c r="M216" i="36"/>
  <c r="M217" i="36"/>
  <c r="M218" i="36"/>
  <c r="M219" i="36"/>
  <c r="M220" i="36"/>
  <c r="M221" i="36"/>
  <c r="M222" i="36"/>
  <c r="M223" i="36"/>
  <c r="M224" i="36"/>
  <c r="M225" i="36"/>
  <c r="M226" i="36"/>
  <c r="M227" i="36"/>
  <c r="M228" i="36"/>
  <c r="M229" i="36"/>
  <c r="M230" i="36"/>
  <c r="M231" i="36"/>
  <c r="M232" i="36"/>
  <c r="M233" i="36"/>
  <c r="M234" i="36"/>
  <c r="M235" i="36"/>
  <c r="M236" i="36"/>
  <c r="M237" i="36"/>
  <c r="M238" i="36"/>
  <c r="M239" i="36"/>
  <c r="M240" i="36"/>
  <c r="M241" i="36"/>
  <c r="M242" i="36"/>
  <c r="M243" i="36"/>
  <c r="M244" i="36"/>
  <c r="M245" i="36"/>
  <c r="M246" i="36"/>
  <c r="M247" i="36"/>
  <c r="M248" i="36"/>
  <c r="M249" i="36"/>
  <c r="M250" i="36"/>
  <c r="M251" i="36"/>
  <c r="M252" i="36"/>
  <c r="M253" i="36"/>
  <c r="M254" i="36"/>
  <c r="M255" i="36"/>
  <c r="M256" i="36"/>
  <c r="M257" i="36"/>
  <c r="M258" i="36"/>
  <c r="M259" i="36"/>
  <c r="M260" i="36"/>
  <c r="M261" i="36"/>
  <c r="M262" i="36"/>
  <c r="M263" i="36"/>
  <c r="M264" i="36"/>
  <c r="M265" i="36"/>
  <c r="M266" i="36"/>
  <c r="M267" i="36"/>
  <c r="M268" i="36"/>
  <c r="M269" i="36"/>
  <c r="M270" i="36"/>
  <c r="M271" i="36"/>
  <c r="M272" i="36"/>
  <c r="M273" i="36"/>
  <c r="M274" i="36"/>
  <c r="M275" i="36"/>
  <c r="M276" i="36"/>
  <c r="M277" i="36"/>
  <c r="M278" i="36"/>
  <c r="M279" i="36"/>
  <c r="M280" i="36"/>
  <c r="M281" i="36"/>
  <c r="M282" i="36"/>
  <c r="M283" i="36"/>
  <c r="M284" i="36"/>
  <c r="M285" i="36"/>
  <c r="M286" i="36"/>
  <c r="M287" i="36"/>
  <c r="M288" i="36"/>
  <c r="M289" i="36"/>
  <c r="M290" i="36"/>
  <c r="M291" i="36"/>
  <c r="M292" i="36"/>
  <c r="M293" i="36"/>
  <c r="M294" i="36"/>
  <c r="M295" i="36"/>
  <c r="M296" i="36"/>
  <c r="M297" i="36"/>
  <c r="M298" i="36"/>
  <c r="M299" i="36"/>
  <c r="M300" i="36"/>
  <c r="M301" i="36"/>
  <c r="M302" i="36"/>
  <c r="M303" i="36"/>
  <c r="M304" i="36"/>
  <c r="M305" i="36"/>
  <c r="M306" i="36"/>
  <c r="M307" i="36"/>
  <c r="M308" i="36"/>
  <c r="M309" i="36"/>
  <c r="M310" i="36"/>
  <c r="M311" i="36"/>
  <c r="M312" i="36"/>
  <c r="M313" i="36"/>
  <c r="M314" i="36"/>
  <c r="M315" i="36"/>
  <c r="M316" i="36"/>
  <c r="M317" i="36"/>
  <c r="M318" i="36"/>
  <c r="M319" i="36"/>
  <c r="M320" i="36"/>
  <c r="M321" i="36"/>
  <c r="M322" i="36"/>
  <c r="M323" i="36"/>
  <c r="M324" i="36"/>
  <c r="M325" i="36"/>
  <c r="M326" i="36"/>
  <c r="M327" i="36"/>
  <c r="M328" i="36"/>
  <c r="M329" i="36"/>
  <c r="M330" i="36"/>
  <c r="M331" i="36"/>
  <c r="M332" i="36"/>
  <c r="M333" i="36"/>
  <c r="M334" i="36"/>
  <c r="M335" i="36"/>
  <c r="M336" i="36"/>
  <c r="M337" i="36"/>
  <c r="M338" i="36"/>
  <c r="M339" i="36"/>
  <c r="M340" i="36"/>
  <c r="M341" i="36"/>
  <c r="M342" i="36"/>
  <c r="M343" i="36"/>
  <c r="M344" i="36"/>
  <c r="M345" i="36"/>
  <c r="M346" i="36"/>
  <c r="M347" i="36"/>
  <c r="M348" i="36"/>
  <c r="M349" i="36"/>
  <c r="M350" i="36"/>
  <c r="M351" i="36"/>
  <c r="M352" i="36"/>
  <c r="M353" i="36"/>
  <c r="M354" i="36"/>
  <c r="M355" i="36"/>
  <c r="M356" i="36"/>
  <c r="M357" i="36"/>
  <c r="M358" i="36"/>
  <c r="M359" i="36"/>
  <c r="M360" i="36"/>
  <c r="M361" i="36"/>
  <c r="M362" i="36"/>
  <c r="M363" i="36"/>
  <c r="M364" i="36"/>
  <c r="M365" i="36"/>
  <c r="M366" i="36"/>
  <c r="M367" i="36"/>
  <c r="M368" i="36"/>
  <c r="M369" i="36"/>
  <c r="M370" i="36"/>
  <c r="M371" i="36"/>
  <c r="M372" i="36"/>
  <c r="M373" i="36"/>
  <c r="M374" i="36"/>
  <c r="M375" i="36"/>
  <c r="M376" i="36"/>
  <c r="M377" i="36"/>
  <c r="M378" i="36"/>
  <c r="M379" i="36"/>
  <c r="M380" i="36"/>
  <c r="M381" i="36"/>
  <c r="M382" i="36"/>
  <c r="M383" i="36"/>
  <c r="M384" i="36"/>
  <c r="M385" i="36"/>
  <c r="M386" i="36"/>
  <c r="M387" i="36"/>
  <c r="M388" i="36"/>
  <c r="M389" i="36"/>
  <c r="M390" i="36"/>
  <c r="M391" i="36"/>
  <c r="M392" i="36"/>
  <c r="M393" i="36"/>
  <c r="M394" i="36"/>
  <c r="M395" i="36"/>
  <c r="M396" i="36"/>
  <c r="M397" i="36"/>
  <c r="M398" i="36"/>
  <c r="M399" i="36"/>
  <c r="M400" i="36"/>
  <c r="M401" i="36"/>
  <c r="M402" i="36"/>
  <c r="M403" i="36"/>
  <c r="M404" i="36"/>
  <c r="M405" i="36"/>
  <c r="M406" i="36"/>
  <c r="M407" i="36"/>
  <c r="M408" i="36"/>
  <c r="M409" i="36"/>
  <c r="M410" i="36"/>
  <c r="M411" i="36"/>
  <c r="M412" i="36"/>
  <c r="M413" i="36"/>
  <c r="M414" i="36"/>
  <c r="M415" i="36"/>
  <c r="M416" i="36"/>
  <c r="M417" i="36"/>
  <c r="M418" i="36"/>
  <c r="M419" i="36"/>
  <c r="M420" i="36"/>
  <c r="M421" i="36"/>
  <c r="M422" i="36"/>
  <c r="M423" i="36"/>
  <c r="M424" i="36"/>
  <c r="M425" i="36"/>
  <c r="M426" i="36"/>
  <c r="M427" i="36"/>
  <c r="M428" i="36"/>
  <c r="M429" i="36"/>
  <c r="M430" i="36"/>
  <c r="M431" i="36"/>
  <c r="M432" i="36"/>
  <c r="M433" i="36"/>
  <c r="M434" i="36"/>
  <c r="M435" i="36"/>
  <c r="M436" i="36"/>
  <c r="M437" i="36"/>
  <c r="M438" i="36"/>
  <c r="M439" i="36"/>
  <c r="M440" i="36"/>
  <c r="M441" i="36"/>
  <c r="M442" i="36"/>
  <c r="M443" i="36"/>
  <c r="M444" i="36"/>
  <c r="M445" i="36"/>
  <c r="M446" i="36"/>
  <c r="M447" i="36"/>
  <c r="M448" i="36"/>
  <c r="M449" i="36"/>
  <c r="M450" i="36"/>
  <c r="M451" i="36"/>
  <c r="M452" i="36"/>
  <c r="M453" i="36"/>
  <c r="M454" i="36"/>
  <c r="M455" i="36"/>
  <c r="M456" i="36"/>
  <c r="M457" i="36"/>
  <c r="M458" i="36"/>
  <c r="M459" i="36"/>
  <c r="M460" i="36"/>
  <c r="M461" i="36"/>
  <c r="M462" i="36"/>
  <c r="M463" i="36"/>
  <c r="M464" i="36"/>
  <c r="M465" i="36"/>
  <c r="M466" i="36"/>
  <c r="M467" i="36"/>
  <c r="M468" i="36"/>
  <c r="M469" i="36"/>
  <c r="M470" i="36"/>
  <c r="M471" i="36"/>
  <c r="M472" i="36"/>
  <c r="M473" i="36"/>
  <c r="M474" i="36"/>
  <c r="M475" i="36"/>
  <c r="M476" i="36"/>
  <c r="M477" i="36"/>
  <c r="M478" i="36"/>
  <c r="M479" i="36"/>
  <c r="M480" i="36"/>
  <c r="M481" i="36"/>
  <c r="M482" i="36"/>
  <c r="M483" i="36"/>
  <c r="M484" i="36"/>
  <c r="M485" i="36"/>
  <c r="M486" i="36"/>
  <c r="M487" i="36"/>
  <c r="M488" i="36"/>
  <c r="M489" i="36"/>
  <c r="M490" i="36"/>
  <c r="M491" i="36"/>
  <c r="M492" i="36"/>
  <c r="M493" i="36"/>
  <c r="M494" i="36"/>
  <c r="M495" i="36"/>
  <c r="M496" i="36"/>
  <c r="M497" i="36"/>
  <c r="M498" i="36"/>
  <c r="M499" i="36"/>
  <c r="M500" i="36"/>
  <c r="M501" i="36"/>
  <c r="M502" i="36"/>
  <c r="M503" i="36"/>
  <c r="M504" i="36"/>
  <c r="M505" i="36"/>
  <c r="M506" i="36"/>
  <c r="M507" i="36"/>
  <c r="M508" i="36"/>
  <c r="M509" i="36"/>
  <c r="M510" i="36"/>
  <c r="M511" i="36"/>
  <c r="M512" i="36"/>
  <c r="M513" i="36"/>
  <c r="M514" i="36"/>
  <c r="M515" i="36"/>
  <c r="M516" i="36"/>
  <c r="M517" i="36"/>
  <c r="M518" i="36"/>
  <c r="M519" i="36"/>
  <c r="M520" i="36"/>
  <c r="M521" i="36"/>
  <c r="M522" i="36"/>
  <c r="M523" i="36"/>
  <c r="M524" i="36"/>
  <c r="M525" i="36"/>
  <c r="M526" i="36"/>
  <c r="M527" i="36"/>
  <c r="M528" i="36"/>
  <c r="M529" i="36"/>
  <c r="M530" i="36"/>
  <c r="M531" i="36"/>
  <c r="M532" i="36"/>
  <c r="M533" i="36"/>
  <c r="M534" i="36"/>
  <c r="M535" i="36"/>
  <c r="M536" i="36"/>
  <c r="M537" i="36"/>
  <c r="M538" i="36"/>
  <c r="M539" i="36"/>
  <c r="M540" i="36"/>
  <c r="M541" i="36"/>
  <c r="M542" i="36"/>
  <c r="M543" i="36"/>
  <c r="M544" i="36"/>
  <c r="M545" i="36"/>
  <c r="M546" i="36"/>
  <c r="M547" i="36"/>
  <c r="M548" i="36"/>
  <c r="M549" i="36"/>
  <c r="M550" i="36"/>
  <c r="M551" i="36"/>
  <c r="M552" i="36"/>
  <c r="M553" i="36"/>
  <c r="M554" i="36"/>
  <c r="M555" i="36"/>
  <c r="M556" i="36"/>
  <c r="M557" i="36"/>
  <c r="M558" i="36"/>
  <c r="M559" i="36"/>
  <c r="M560" i="36"/>
  <c r="M561" i="36"/>
  <c r="M562" i="36"/>
  <c r="M563" i="36"/>
  <c r="M564" i="36"/>
  <c r="M565" i="36"/>
  <c r="M566" i="36"/>
  <c r="M567" i="36"/>
  <c r="M568" i="36"/>
  <c r="M569" i="36"/>
  <c r="M570" i="36"/>
  <c r="M571" i="36"/>
  <c r="M572" i="36"/>
  <c r="M573" i="36"/>
  <c r="M574" i="36"/>
  <c r="M575" i="36"/>
  <c r="M576" i="36"/>
  <c r="M577" i="36"/>
  <c r="M578" i="36"/>
  <c r="M579" i="36"/>
  <c r="M580" i="36"/>
  <c r="M581" i="36"/>
  <c r="M582" i="36"/>
  <c r="M583" i="36"/>
  <c r="M584" i="36"/>
  <c r="M585" i="36"/>
  <c r="M586" i="36"/>
  <c r="M587" i="36"/>
  <c r="M588" i="36"/>
  <c r="M589" i="36"/>
  <c r="M590" i="36"/>
  <c r="M591" i="36"/>
  <c r="M592" i="36"/>
  <c r="M593" i="36"/>
  <c r="M594" i="36"/>
  <c r="M595" i="36"/>
  <c r="M596" i="36"/>
  <c r="M597" i="36"/>
  <c r="M598" i="36"/>
  <c r="M599" i="36"/>
  <c r="M600" i="36"/>
  <c r="M601" i="36"/>
  <c r="M602" i="36"/>
  <c r="M603" i="36"/>
  <c r="M604" i="36"/>
  <c r="M605" i="36"/>
  <c r="M606" i="36"/>
  <c r="M607" i="36"/>
  <c r="M608" i="36"/>
  <c r="M609" i="36"/>
  <c r="M610" i="36"/>
  <c r="M611" i="36"/>
  <c r="M612" i="36"/>
  <c r="M613" i="36"/>
  <c r="M614" i="36"/>
  <c r="M615" i="36"/>
  <c r="M616" i="36"/>
  <c r="M617" i="36"/>
  <c r="M618" i="36"/>
  <c r="M619" i="36"/>
  <c r="M620" i="36"/>
  <c r="M621" i="36"/>
  <c r="M622" i="36"/>
  <c r="M623" i="36"/>
  <c r="M624" i="36"/>
  <c r="M625" i="36"/>
  <c r="M626" i="36"/>
  <c r="M627" i="36"/>
  <c r="M628" i="36"/>
  <c r="M629" i="36"/>
  <c r="M630" i="36"/>
  <c r="M631" i="36"/>
  <c r="M632" i="36"/>
  <c r="M633" i="36"/>
  <c r="M634" i="36"/>
  <c r="M635" i="36"/>
  <c r="M636" i="36"/>
  <c r="M637" i="36"/>
  <c r="M638" i="36"/>
  <c r="M639" i="36"/>
  <c r="M640" i="36"/>
  <c r="M641" i="36"/>
  <c r="M642" i="36"/>
  <c r="M643" i="36"/>
  <c r="M644" i="36"/>
  <c r="M645" i="36"/>
  <c r="M646" i="36"/>
  <c r="M647" i="36"/>
  <c r="M648" i="36"/>
  <c r="M649" i="36"/>
  <c r="M650" i="36"/>
  <c r="M651" i="36"/>
  <c r="M652" i="36"/>
  <c r="M653" i="36"/>
  <c r="M654" i="36"/>
  <c r="M655" i="36"/>
  <c r="M656" i="36"/>
  <c r="M657" i="36"/>
  <c r="M658" i="36"/>
  <c r="M659" i="36"/>
  <c r="M660" i="36"/>
  <c r="M661" i="36"/>
  <c r="M662" i="36"/>
  <c r="M663" i="36"/>
  <c r="M664" i="36"/>
  <c r="M665" i="36"/>
  <c r="M666" i="36"/>
  <c r="M667" i="36"/>
  <c r="M668" i="36"/>
  <c r="M669" i="36"/>
  <c r="M670" i="36"/>
  <c r="M671" i="36"/>
  <c r="M672" i="36"/>
  <c r="M673" i="36"/>
  <c r="M674" i="36"/>
  <c r="M675" i="36"/>
  <c r="M676" i="36"/>
  <c r="M677" i="36"/>
  <c r="M678" i="36"/>
  <c r="M679" i="36"/>
  <c r="M680" i="36"/>
  <c r="M681" i="36"/>
  <c r="M682" i="36"/>
  <c r="M683" i="36"/>
  <c r="M684" i="36"/>
  <c r="M685" i="36"/>
  <c r="M686" i="36"/>
  <c r="M687" i="36"/>
  <c r="M688" i="36"/>
  <c r="M689" i="36"/>
  <c r="M690" i="36"/>
  <c r="M691" i="36"/>
  <c r="M692" i="36"/>
  <c r="M693" i="36"/>
  <c r="M694" i="36"/>
  <c r="M695" i="36"/>
  <c r="M696" i="36"/>
  <c r="M697" i="36"/>
  <c r="M698" i="36"/>
  <c r="M699" i="36"/>
  <c r="M700" i="36"/>
  <c r="M701" i="36"/>
  <c r="M702" i="36"/>
  <c r="M703" i="36"/>
  <c r="M704" i="36"/>
  <c r="M705" i="36"/>
  <c r="M706" i="36"/>
  <c r="M707" i="36"/>
  <c r="M708" i="36"/>
  <c r="M709" i="36"/>
  <c r="M710" i="36"/>
  <c r="M711" i="36"/>
  <c r="M712" i="36"/>
  <c r="M713" i="36"/>
  <c r="M714" i="36"/>
  <c r="M715" i="36"/>
  <c r="M716" i="36"/>
  <c r="M717" i="36"/>
  <c r="M718" i="36"/>
  <c r="M719" i="36"/>
  <c r="M720" i="36"/>
  <c r="M721" i="36"/>
  <c r="M722" i="36"/>
  <c r="M723" i="36"/>
  <c r="M724" i="36"/>
  <c r="M725" i="36"/>
  <c r="M726" i="36"/>
  <c r="M727" i="36"/>
  <c r="M728" i="36"/>
  <c r="M729" i="36"/>
  <c r="M730" i="36"/>
  <c r="M731" i="36"/>
  <c r="M732" i="36"/>
  <c r="M733" i="36"/>
  <c r="M734" i="36"/>
  <c r="M735" i="36"/>
  <c r="M736" i="36"/>
  <c r="M737" i="36"/>
  <c r="M738" i="36"/>
  <c r="M739" i="36"/>
  <c r="M740" i="36"/>
  <c r="M741" i="36"/>
  <c r="M742" i="36"/>
  <c r="M743" i="36"/>
  <c r="M744" i="36"/>
  <c r="M745" i="36"/>
  <c r="M746" i="36"/>
  <c r="M747" i="36"/>
  <c r="M748" i="36"/>
  <c r="M749" i="36"/>
  <c r="M750" i="36"/>
  <c r="M751" i="36"/>
  <c r="M752" i="36"/>
  <c r="M753" i="36"/>
  <c r="M754" i="36"/>
  <c r="M755" i="36"/>
  <c r="M756" i="36"/>
  <c r="M757" i="36"/>
  <c r="M758" i="36"/>
  <c r="M759" i="36"/>
  <c r="M760" i="36"/>
  <c r="M761" i="36"/>
  <c r="M762" i="36"/>
  <c r="M763" i="36"/>
  <c r="M764" i="36"/>
  <c r="M765" i="36"/>
  <c r="M766" i="36"/>
  <c r="M767" i="36"/>
  <c r="M768" i="36"/>
  <c r="M769" i="36"/>
  <c r="M770" i="36"/>
  <c r="M771" i="36"/>
  <c r="M772" i="36"/>
  <c r="M773" i="36"/>
  <c r="M774" i="36"/>
  <c r="M775" i="36"/>
  <c r="M776" i="36"/>
  <c r="M777" i="36"/>
  <c r="M778" i="36"/>
  <c r="M779" i="36"/>
  <c r="M780" i="36"/>
  <c r="M781" i="36"/>
  <c r="M782" i="36"/>
  <c r="M6" i="36"/>
  <c r="J27" i="35"/>
  <c r="K27" i="35"/>
  <c r="F27" i="35"/>
  <c r="E27" i="35"/>
  <c r="F18" i="35"/>
  <c r="F7" i="54" s="1"/>
  <c r="F17" i="35"/>
  <c r="F19" i="35" s="1"/>
  <c r="I71" i="53" l="1"/>
  <c r="K42" i="53"/>
  <c r="J69" i="53"/>
  <c r="V70" i="53" s="1"/>
  <c r="G57" i="53"/>
  <c r="H56" i="53"/>
  <c r="F20" i="35"/>
  <c r="F31" i="51"/>
  <c r="K7" i="54"/>
  <c r="F11" i="51"/>
  <c r="F37" i="51" s="1"/>
  <c r="E10" i="51"/>
  <c r="F13" i="51"/>
  <c r="E13" i="51"/>
  <c r="D16" i="35"/>
  <c r="F10" i="51"/>
  <c r="D30" i="35"/>
  <c r="H7" i="54"/>
  <c r="D10" i="51"/>
  <c r="D18" i="35"/>
  <c r="F21" i="35"/>
  <c r="D17" i="35"/>
  <c r="D20" i="35" s="1"/>
  <c r="F14" i="51"/>
  <c r="E11" i="51"/>
  <c r="E37" i="51" s="1"/>
  <c r="L29" i="35"/>
  <c r="L28" i="35"/>
  <c r="L27" i="35"/>
  <c r="F29" i="35"/>
  <c r="F28" i="35"/>
  <c r="K28" i="35"/>
  <c r="K29" i="35"/>
  <c r="E29" i="35"/>
  <c r="E28" i="35"/>
  <c r="J29" i="35"/>
  <c r="J28" i="35"/>
  <c r="D29" i="35"/>
  <c r="D28" i="35"/>
  <c r="E117" i="53"/>
  <c r="D117" i="53" s="1"/>
  <c r="G117" i="53"/>
  <c r="H117" i="53" s="1"/>
  <c r="C119" i="53"/>
  <c r="C118" i="53" s="1"/>
  <c r="C121" i="53"/>
  <c r="C122" i="53" s="1"/>
  <c r="E126" i="53"/>
  <c r="D126" i="53" s="1"/>
  <c r="G126" i="53"/>
  <c r="H126" i="53"/>
  <c r="C128" i="53"/>
  <c r="C127" i="53" s="1"/>
  <c r="C130" i="53"/>
  <c r="C131" i="53" s="1"/>
  <c r="J71" i="53" l="1"/>
  <c r="I56" i="53"/>
  <c r="H57" i="53"/>
  <c r="K69" i="53"/>
  <c r="W70" i="53" s="1"/>
  <c r="L42" i="53"/>
  <c r="D19" i="35"/>
  <c r="D11" i="51"/>
  <c r="D37" i="51" s="1"/>
  <c r="D38" i="51" s="1"/>
  <c r="D21" i="35"/>
  <c r="D14" i="51"/>
  <c r="E30" i="35"/>
  <c r="F30" i="35"/>
  <c r="J30" i="35"/>
  <c r="K30" i="35"/>
  <c r="L30" i="35"/>
  <c r="M42" i="53" l="1"/>
  <c r="L69" i="53"/>
  <c r="X70" i="53" s="1"/>
  <c r="K71" i="53"/>
  <c r="J56" i="53"/>
  <c r="I57" i="53"/>
  <c r="H48" i="56"/>
  <c r="G48" i="56"/>
  <c r="F48" i="56"/>
  <c r="E48" i="56"/>
  <c r="D48" i="56"/>
  <c r="H47" i="56"/>
  <c r="G47" i="56"/>
  <c r="F47" i="56"/>
  <c r="E47" i="56"/>
  <c r="D47" i="56"/>
  <c r="H46" i="56"/>
  <c r="G46" i="56"/>
  <c r="F46" i="56"/>
  <c r="E46" i="56"/>
  <c r="D46" i="56"/>
  <c r="C46" i="56"/>
  <c r="H45" i="56"/>
  <c r="G45" i="56"/>
  <c r="F45" i="56"/>
  <c r="E45" i="56"/>
  <c r="D45" i="56"/>
  <c r="H44" i="56"/>
  <c r="G44" i="56"/>
  <c r="F44" i="56"/>
  <c r="E44" i="56"/>
  <c r="D44" i="56"/>
  <c r="F43" i="56"/>
  <c r="D42" i="56"/>
  <c r="B44" i="56"/>
  <c r="B41" i="56"/>
  <c r="B32" i="56"/>
  <c r="D33" i="56"/>
  <c r="H39" i="56"/>
  <c r="G39" i="56"/>
  <c r="F39" i="56"/>
  <c r="E39" i="56"/>
  <c r="D39" i="56"/>
  <c r="H38" i="56"/>
  <c r="G38" i="56"/>
  <c r="F38" i="56"/>
  <c r="E38" i="56"/>
  <c r="D38" i="56"/>
  <c r="H37" i="56"/>
  <c r="G37" i="56"/>
  <c r="F37" i="56"/>
  <c r="E37" i="56"/>
  <c r="D37" i="56"/>
  <c r="C37" i="56"/>
  <c r="H36" i="56"/>
  <c r="G36" i="56"/>
  <c r="F36" i="56"/>
  <c r="E36" i="56"/>
  <c r="D36" i="56"/>
  <c r="H35" i="56"/>
  <c r="G35" i="56"/>
  <c r="F35" i="56"/>
  <c r="E35" i="56"/>
  <c r="D35" i="56"/>
  <c r="F34" i="56"/>
  <c r="B35" i="56"/>
  <c r="G28" i="56"/>
  <c r="F28" i="56"/>
  <c r="E28" i="56"/>
  <c r="D28" i="56"/>
  <c r="G27" i="56"/>
  <c r="L7" i="54"/>
  <c r="E15" i="56"/>
  <c r="D15" i="56"/>
  <c r="E9" i="56"/>
  <c r="E8" i="56"/>
  <c r="D8" i="56"/>
  <c r="E7" i="56"/>
  <c r="D35" i="53"/>
  <c r="D34" i="53"/>
  <c r="C48" i="56"/>
  <c r="C45" i="56"/>
  <c r="H43" i="56"/>
  <c r="D43" i="56"/>
  <c r="D34" i="56"/>
  <c r="C38" i="56"/>
  <c r="C35" i="56"/>
  <c r="C35" i="53"/>
  <c r="C34" i="53"/>
  <c r="C47" i="53"/>
  <c r="C87" i="53" s="1"/>
  <c r="D41" i="53"/>
  <c r="E41" i="53" s="1"/>
  <c r="C81" i="53"/>
  <c r="C76" i="53"/>
  <c r="C66" i="53"/>
  <c r="C61" i="53"/>
  <c r="D38" i="53"/>
  <c r="D37" i="53"/>
  <c r="D36" i="53"/>
  <c r="B38" i="53"/>
  <c r="B78" i="53" s="1"/>
  <c r="B37" i="53"/>
  <c r="B73" i="53" s="1"/>
  <c r="B36" i="53"/>
  <c r="B68" i="53" s="1"/>
  <c r="AA92" i="53"/>
  <c r="Z92" i="53"/>
  <c r="Y92" i="53"/>
  <c r="X92" i="53"/>
  <c r="W92" i="53"/>
  <c r="V92" i="53"/>
  <c r="U92" i="53"/>
  <c r="T92" i="53"/>
  <c r="S92" i="53"/>
  <c r="R92" i="53"/>
  <c r="Q92" i="53"/>
  <c r="P92" i="53"/>
  <c r="O92" i="53"/>
  <c r="N92" i="53"/>
  <c r="M92" i="53"/>
  <c r="L92" i="53"/>
  <c r="K92" i="53"/>
  <c r="J92" i="53"/>
  <c r="I92" i="53"/>
  <c r="H92" i="53"/>
  <c r="G92" i="53"/>
  <c r="F92" i="53"/>
  <c r="E92" i="53"/>
  <c r="D92" i="53"/>
  <c r="C92" i="53"/>
  <c r="D79" i="53"/>
  <c r="F18" i="54"/>
  <c r="E18" i="54"/>
  <c r="F15" i="54"/>
  <c r="E15" i="54"/>
  <c r="F14" i="54"/>
  <c r="F27" i="54" s="1"/>
  <c r="E14" i="54"/>
  <c r="E27" i="54" s="1"/>
  <c r="D14" i="54"/>
  <c r="D27" i="54" s="1"/>
  <c r="C14" i="54"/>
  <c r="C27" i="54" s="1"/>
  <c r="B25" i="53"/>
  <c r="B35" i="53" s="1"/>
  <c r="B63" i="53" s="1"/>
  <c r="B24" i="53"/>
  <c r="B34" i="53" s="1"/>
  <c r="B58" i="53" s="1"/>
  <c r="B23" i="53"/>
  <c r="B89" i="53" s="1"/>
  <c r="B22" i="53"/>
  <c r="B88" i="53" s="1"/>
  <c r="AA93" i="53"/>
  <c r="Z93" i="53"/>
  <c r="Y93" i="53"/>
  <c r="X93" i="53"/>
  <c r="W93" i="53"/>
  <c r="V93" i="53"/>
  <c r="U93" i="53"/>
  <c r="T93" i="53"/>
  <c r="S93" i="53"/>
  <c r="R93" i="53"/>
  <c r="Q93" i="53"/>
  <c r="P93" i="53"/>
  <c r="O93" i="53"/>
  <c r="N93" i="53"/>
  <c r="M93" i="53"/>
  <c r="L93" i="53"/>
  <c r="K93" i="53"/>
  <c r="J93" i="53"/>
  <c r="I93" i="53"/>
  <c r="H93" i="53"/>
  <c r="G93" i="53"/>
  <c r="F93" i="53"/>
  <c r="E93" i="53"/>
  <c r="D93" i="53"/>
  <c r="C93" i="53"/>
  <c r="AA91" i="53"/>
  <c r="Z91" i="53"/>
  <c r="Y91" i="53"/>
  <c r="X91" i="53"/>
  <c r="W91" i="53"/>
  <c r="V91" i="53"/>
  <c r="U91" i="53"/>
  <c r="T91" i="53"/>
  <c r="S91" i="53"/>
  <c r="R91" i="53"/>
  <c r="Q91" i="53"/>
  <c r="P91" i="53"/>
  <c r="O91" i="53"/>
  <c r="N91" i="53"/>
  <c r="M91" i="53"/>
  <c r="L91" i="53"/>
  <c r="K91" i="53"/>
  <c r="J91" i="53"/>
  <c r="I91" i="53"/>
  <c r="H91" i="53"/>
  <c r="G91" i="53"/>
  <c r="F91" i="53"/>
  <c r="E91" i="53"/>
  <c r="D91" i="53"/>
  <c r="AA90" i="53"/>
  <c r="Z90" i="53"/>
  <c r="Y90" i="53"/>
  <c r="X90" i="53"/>
  <c r="W90" i="53"/>
  <c r="V90" i="53"/>
  <c r="U90" i="53"/>
  <c r="T90" i="53"/>
  <c r="S90" i="53"/>
  <c r="R90" i="53"/>
  <c r="Q90" i="53"/>
  <c r="P90" i="53"/>
  <c r="O90" i="53"/>
  <c r="N90" i="53"/>
  <c r="M90" i="53"/>
  <c r="L90" i="53"/>
  <c r="K90" i="53"/>
  <c r="J90" i="53"/>
  <c r="I90" i="53"/>
  <c r="H90" i="53"/>
  <c r="G90" i="53"/>
  <c r="F90" i="53"/>
  <c r="E90" i="53"/>
  <c r="D90" i="53"/>
  <c r="AA89" i="53"/>
  <c r="Z89" i="53"/>
  <c r="Y89" i="53"/>
  <c r="X89" i="53"/>
  <c r="W89" i="53"/>
  <c r="V89" i="53"/>
  <c r="U89" i="53"/>
  <c r="T89" i="53"/>
  <c r="S89" i="53"/>
  <c r="R89" i="53"/>
  <c r="Q89" i="53"/>
  <c r="P89" i="53"/>
  <c r="O89" i="53"/>
  <c r="N89" i="53"/>
  <c r="M89" i="53"/>
  <c r="L89" i="53"/>
  <c r="K89" i="53"/>
  <c r="J89" i="53"/>
  <c r="I89" i="53"/>
  <c r="H89" i="53"/>
  <c r="G89" i="53"/>
  <c r="F89" i="53"/>
  <c r="E89" i="53"/>
  <c r="D89" i="53"/>
  <c r="AA88" i="53"/>
  <c r="Z88" i="53"/>
  <c r="Y88" i="53"/>
  <c r="X88" i="53"/>
  <c r="W88" i="53"/>
  <c r="V88" i="53"/>
  <c r="U88" i="53"/>
  <c r="T88" i="53"/>
  <c r="S88" i="53"/>
  <c r="R88" i="53"/>
  <c r="Q88" i="53"/>
  <c r="P88" i="53"/>
  <c r="O88" i="53"/>
  <c r="N88" i="53"/>
  <c r="M88" i="53"/>
  <c r="L88" i="53"/>
  <c r="K88" i="53"/>
  <c r="J88" i="53"/>
  <c r="I88" i="53"/>
  <c r="H88" i="53"/>
  <c r="G88" i="53"/>
  <c r="F88" i="53"/>
  <c r="E88" i="53"/>
  <c r="D88" i="53"/>
  <c r="C91" i="53"/>
  <c r="C90" i="53"/>
  <c r="C89" i="53"/>
  <c r="C88" i="53"/>
  <c r="F28" i="54"/>
  <c r="E28" i="54"/>
  <c r="D28" i="54"/>
  <c r="F19" i="54"/>
  <c r="E19" i="54"/>
  <c r="D19" i="54"/>
  <c r="F16" i="54"/>
  <c r="E16" i="54"/>
  <c r="D16" i="54"/>
  <c r="E31" i="54"/>
  <c r="E21" i="54"/>
  <c r="E29" i="54"/>
  <c r="K8" i="50"/>
  <c r="H34" i="56"/>
  <c r="G34" i="56"/>
  <c r="E43" i="56"/>
  <c r="C37" i="53"/>
  <c r="C38" i="53"/>
  <c r="B42" i="53"/>
  <c r="B43" i="53"/>
  <c r="B44" i="53"/>
  <c r="H6" i="54"/>
  <c r="F31" i="54"/>
  <c r="D14" i="56"/>
  <c r="E14" i="56"/>
  <c r="F35" i="51"/>
  <c r="E35" i="51"/>
  <c r="F32" i="51"/>
  <c r="F33" i="51" s="1"/>
  <c r="E32" i="51"/>
  <c r="E33" i="51" s="1"/>
  <c r="L6" i="54"/>
  <c r="D32" i="53" s="1"/>
  <c r="F29" i="54"/>
  <c r="D15" i="54"/>
  <c r="C36" i="53"/>
  <c r="E11" i="56"/>
  <c r="C7" i="54"/>
  <c r="G7" i="54" s="1"/>
  <c r="D6" i="54"/>
  <c r="C6" i="54"/>
  <c r="D7" i="54"/>
  <c r="F6" i="54"/>
  <c r="F46" i="35"/>
  <c r="F44" i="35"/>
  <c r="F45" i="35" s="1"/>
  <c r="D46" i="35"/>
  <c r="E46" i="35"/>
  <c r="E44" i="35"/>
  <c r="D44" i="35"/>
  <c r="D45" i="35" s="1"/>
  <c r="L71" i="53" l="1"/>
  <c r="K56" i="53"/>
  <c r="J57" i="53"/>
  <c r="N42" i="53"/>
  <c r="M69" i="53"/>
  <c r="Y70" i="53" s="1"/>
  <c r="E7" i="54"/>
  <c r="E36" i="51"/>
  <c r="E38" i="51" s="1"/>
  <c r="F36" i="51"/>
  <c r="F38" i="51" s="1"/>
  <c r="G6" i="54"/>
  <c r="J7" i="54"/>
  <c r="I6" i="54"/>
  <c r="C21" i="54" s="1"/>
  <c r="E6" i="54"/>
  <c r="C29" i="54" s="1"/>
  <c r="D29" i="54"/>
  <c r="I7" i="54"/>
  <c r="D21" i="54" s="1"/>
  <c r="F47" i="35"/>
  <c r="F48" i="35" s="1"/>
  <c r="E10" i="56" s="1"/>
  <c r="K9" i="50"/>
  <c r="D10" i="50"/>
  <c r="D22" i="50"/>
  <c r="D102" i="50"/>
  <c r="D122" i="50"/>
  <c r="D138" i="50"/>
  <c r="D101" i="50"/>
  <c r="D117" i="50"/>
  <c r="D137" i="50"/>
  <c r="D12" i="50"/>
  <c r="D116" i="50"/>
  <c r="D136" i="50"/>
  <c r="D7" i="50"/>
  <c r="D99" i="50"/>
  <c r="D47" i="35"/>
  <c r="D48" i="35" s="1"/>
  <c r="E45" i="35"/>
  <c r="E47" i="35" s="1"/>
  <c r="E48" i="35" s="1"/>
  <c r="D10" i="56" s="1"/>
  <c r="C47" i="56"/>
  <c r="C67" i="53"/>
  <c r="C36" i="56"/>
  <c r="D47" i="53"/>
  <c r="D87" i="53" s="1"/>
  <c r="C62" i="53"/>
  <c r="E34" i="56"/>
  <c r="C77" i="53"/>
  <c r="C44" i="56"/>
  <c r="B22" i="56"/>
  <c r="B32" i="53"/>
  <c r="B33" i="53"/>
  <c r="B53" i="53" s="1"/>
  <c r="E47" i="53"/>
  <c r="E87" i="53" s="1"/>
  <c r="F41" i="53"/>
  <c r="G43" i="56"/>
  <c r="B21" i="56"/>
  <c r="C82" i="53"/>
  <c r="T94" i="53"/>
  <c r="B91" i="53"/>
  <c r="B23" i="56"/>
  <c r="P94" i="53"/>
  <c r="B90" i="53"/>
  <c r="C39" i="56"/>
  <c r="L94" i="53"/>
  <c r="B20" i="56"/>
  <c r="H94" i="53"/>
  <c r="T64" i="53"/>
  <c r="G59" i="53"/>
  <c r="S60" i="53" s="1"/>
  <c r="G94" i="53"/>
  <c r="E94" i="53"/>
  <c r="I94" i="53"/>
  <c r="M94" i="53"/>
  <c r="Q94" i="53"/>
  <c r="U94" i="53"/>
  <c r="Y94" i="53"/>
  <c r="F94" i="53"/>
  <c r="J94" i="53"/>
  <c r="N94" i="53"/>
  <c r="R94" i="53"/>
  <c r="V94" i="53"/>
  <c r="Z94" i="53"/>
  <c r="C94" i="53"/>
  <c r="C95" i="53" s="1"/>
  <c r="K94" i="53"/>
  <c r="O94" i="53"/>
  <c r="S94" i="53"/>
  <c r="W94" i="53"/>
  <c r="AA94" i="53"/>
  <c r="D94" i="53"/>
  <c r="X94" i="53"/>
  <c r="D18" i="54"/>
  <c r="D33" i="53"/>
  <c r="C18" i="54"/>
  <c r="K6" i="54"/>
  <c r="C32" i="53" s="1"/>
  <c r="C33" i="53"/>
  <c r="O64" i="53"/>
  <c r="AA65" i="53" s="1"/>
  <c r="P64" i="53"/>
  <c r="N64" i="53"/>
  <c r="Z65" i="53" s="1"/>
  <c r="M64" i="53"/>
  <c r="Y65" i="53" s="1"/>
  <c r="L64" i="53"/>
  <c r="X65" i="53" s="1"/>
  <c r="R64" i="53"/>
  <c r="K64" i="53"/>
  <c r="W65" i="53" s="1"/>
  <c r="Z64" i="53"/>
  <c r="J64" i="53"/>
  <c r="V65" i="53" s="1"/>
  <c r="I64" i="53"/>
  <c r="U65" i="53" s="1"/>
  <c r="D64" i="53"/>
  <c r="D66" i="53" s="1"/>
  <c r="X64" i="53"/>
  <c r="G64" i="53"/>
  <c r="S65" i="53" s="1"/>
  <c r="V64" i="53"/>
  <c r="F64" i="53"/>
  <c r="R65" i="53" s="1"/>
  <c r="E64" i="53"/>
  <c r="Q65" i="53" s="1"/>
  <c r="S64" i="53"/>
  <c r="Q64" i="53"/>
  <c r="D11" i="56"/>
  <c r="D31" i="54"/>
  <c r="D29" i="56"/>
  <c r="G29" i="56"/>
  <c r="G30" i="56" s="1"/>
  <c r="D81" i="53"/>
  <c r="D82" i="53" s="1"/>
  <c r="P80" i="53"/>
  <c r="E74" i="53"/>
  <c r="Q75" i="53" s="1"/>
  <c r="D74" i="53"/>
  <c r="Y59" i="53"/>
  <c r="J59" i="53"/>
  <c r="V60" i="53" s="1"/>
  <c r="O59" i="53"/>
  <c r="AA60" i="53" s="1"/>
  <c r="L59" i="53"/>
  <c r="X60" i="53" s="1"/>
  <c r="O42" i="53" l="1"/>
  <c r="N69" i="53"/>
  <c r="Z70" i="53" s="1"/>
  <c r="L56" i="53"/>
  <c r="K57" i="53"/>
  <c r="W55" i="53"/>
  <c r="U55" i="53"/>
  <c r="Q55" i="53"/>
  <c r="R55" i="53"/>
  <c r="X55" i="53"/>
  <c r="T55" i="53"/>
  <c r="Y55" i="53"/>
  <c r="P55" i="53"/>
  <c r="V55" i="53"/>
  <c r="S55" i="53"/>
  <c r="AA55" i="53"/>
  <c r="Z55" i="53"/>
  <c r="M71" i="53"/>
  <c r="K10" i="50"/>
  <c r="D130" i="50"/>
  <c r="D125" i="50"/>
  <c r="D16" i="50"/>
  <c r="D128" i="50"/>
  <c r="D19" i="50"/>
  <c r="D103" i="50"/>
  <c r="D118" i="50"/>
  <c r="D134" i="50"/>
  <c r="D129" i="50"/>
  <c r="D24" i="50"/>
  <c r="D108" i="50"/>
  <c r="D132" i="50"/>
  <c r="D107" i="50"/>
  <c r="D127" i="50"/>
  <c r="D131" i="50"/>
  <c r="D133" i="50"/>
  <c r="D11" i="50"/>
  <c r="D121" i="50"/>
  <c r="D110" i="50"/>
  <c r="D111" i="50"/>
  <c r="D13" i="50"/>
  <c r="G41" i="53"/>
  <c r="F47" i="53"/>
  <c r="F87" i="53" s="1"/>
  <c r="M95" i="53"/>
  <c r="Z95" i="53"/>
  <c r="Y95" i="53"/>
  <c r="E59" i="53"/>
  <c r="Q60" i="53" s="1"/>
  <c r="O95" i="53"/>
  <c r="W95" i="53"/>
  <c r="U59" i="53"/>
  <c r="Q59" i="53"/>
  <c r="X59" i="53"/>
  <c r="H59" i="53"/>
  <c r="T60" i="53" s="1"/>
  <c r="W59" i="53"/>
  <c r="Z59" i="53"/>
  <c r="V59" i="53"/>
  <c r="K59" i="53"/>
  <c r="W60" i="53" s="1"/>
  <c r="U64" i="53"/>
  <c r="W64" i="53"/>
  <c r="Y64" i="53"/>
  <c r="AA64" i="53"/>
  <c r="H64" i="53"/>
  <c r="T65" i="53" s="1"/>
  <c r="I59" i="53"/>
  <c r="U60" i="53" s="1"/>
  <c r="R59" i="53"/>
  <c r="P59" i="53"/>
  <c r="N59" i="53"/>
  <c r="Z60" i="53" s="1"/>
  <c r="F59" i="53"/>
  <c r="R60" i="53" s="1"/>
  <c r="AA59" i="53"/>
  <c r="M59" i="53"/>
  <c r="Y60" i="53" s="1"/>
  <c r="S59" i="53"/>
  <c r="T59" i="53"/>
  <c r="D95" i="53"/>
  <c r="D59" i="53"/>
  <c r="D61" i="53" s="1"/>
  <c r="D62" i="53" s="1"/>
  <c r="F95" i="53"/>
  <c r="AA95" i="53"/>
  <c r="V95" i="53"/>
  <c r="H95" i="53"/>
  <c r="P95" i="53"/>
  <c r="E95" i="53"/>
  <c r="J95" i="53"/>
  <c r="R95" i="53"/>
  <c r="T95" i="53"/>
  <c r="X95" i="53"/>
  <c r="L95" i="53"/>
  <c r="G95" i="53"/>
  <c r="S95" i="53"/>
  <c r="N95" i="53"/>
  <c r="I95" i="53"/>
  <c r="U95" i="53"/>
  <c r="Q95" i="53"/>
  <c r="K95" i="53"/>
  <c r="P65" i="53"/>
  <c r="E79" i="53"/>
  <c r="E81" i="53" s="1"/>
  <c r="C83" i="53"/>
  <c r="C15" i="54"/>
  <c r="E13" i="56"/>
  <c r="E12" i="56"/>
  <c r="C31" i="54"/>
  <c r="D12" i="56"/>
  <c r="D13" i="56"/>
  <c r="F79" i="53"/>
  <c r="R80" i="53" s="1"/>
  <c r="D67" i="53"/>
  <c r="E66" i="53"/>
  <c r="P75" i="53"/>
  <c r="D76" i="53"/>
  <c r="G79" i="53"/>
  <c r="S80" i="53" s="1"/>
  <c r="E113" i="53" l="1"/>
  <c r="F27" i="56" s="1"/>
  <c r="F29" i="56" s="1"/>
  <c r="F30" i="56" s="1"/>
  <c r="N71" i="53"/>
  <c r="M56" i="53"/>
  <c r="L57" i="53"/>
  <c r="P42" i="53"/>
  <c r="O69" i="53"/>
  <c r="AA70" i="53" s="1"/>
  <c r="K11" i="50"/>
  <c r="D126" i="50"/>
  <c r="D105" i="50"/>
  <c r="D124" i="50"/>
  <c r="D139" i="50"/>
  <c r="G47" i="53"/>
  <c r="G87" i="53" s="1"/>
  <c r="H41" i="53"/>
  <c r="E61" i="53"/>
  <c r="F61" i="53" s="1"/>
  <c r="P60" i="53"/>
  <c r="Q80" i="53"/>
  <c r="C84" i="53"/>
  <c r="C98" i="53" s="1"/>
  <c r="C97" i="53"/>
  <c r="F74" i="53"/>
  <c r="R75" i="53" s="1"/>
  <c r="E82" i="53"/>
  <c r="F81" i="53"/>
  <c r="D77" i="53"/>
  <c r="E76" i="53"/>
  <c r="H79" i="53"/>
  <c r="T80" i="53" s="1"/>
  <c r="E67" i="53"/>
  <c r="F66" i="53"/>
  <c r="G74" i="53"/>
  <c r="S75" i="53" s="1"/>
  <c r="Q42" i="53" l="1"/>
  <c r="P69" i="53"/>
  <c r="O71" i="53"/>
  <c r="P71" i="53" s="1"/>
  <c r="N56" i="53"/>
  <c r="M57" i="53"/>
  <c r="E62" i="53"/>
  <c r="K12" i="50"/>
  <c r="D29" i="50"/>
  <c r="D104" i="50"/>
  <c r="D123" i="50"/>
  <c r="D97" i="50"/>
  <c r="D152" i="50"/>
  <c r="D119" i="50"/>
  <c r="D106" i="50"/>
  <c r="D168" i="50"/>
  <c r="D50" i="50"/>
  <c r="D9" i="50"/>
  <c r="D145" i="50"/>
  <c r="D43" i="50"/>
  <c r="D30" i="50"/>
  <c r="D109" i="50"/>
  <c r="D173" i="50"/>
  <c r="D14" i="50"/>
  <c r="D113" i="50"/>
  <c r="D140" i="50"/>
  <c r="D114" i="50"/>
  <c r="D100" i="50"/>
  <c r="D21" i="50"/>
  <c r="D147" i="50"/>
  <c r="D141" i="50"/>
  <c r="D151" i="50"/>
  <c r="I41" i="53"/>
  <c r="H47" i="53"/>
  <c r="H87" i="53" s="1"/>
  <c r="F62" i="53"/>
  <c r="G61" i="53"/>
  <c r="I79" i="53"/>
  <c r="U80" i="53" s="1"/>
  <c r="G66" i="53"/>
  <c r="F67" i="53"/>
  <c r="E77" i="53"/>
  <c r="F76" i="53"/>
  <c r="F82" i="53"/>
  <c r="G81" i="53"/>
  <c r="H74" i="53"/>
  <c r="T75" i="53" s="1"/>
  <c r="O56" i="53" l="1"/>
  <c r="N57" i="53"/>
  <c r="R42" i="53"/>
  <c r="Q69" i="53"/>
  <c r="Q71" i="53" s="1"/>
  <c r="K13" i="50"/>
  <c r="D48" i="50"/>
  <c r="D35" i="50"/>
  <c r="I47" i="53"/>
  <c r="I87" i="53" s="1"/>
  <c r="J41" i="53"/>
  <c r="G76" i="53"/>
  <c r="F77" i="53"/>
  <c r="J79" i="53"/>
  <c r="V80" i="53" s="1"/>
  <c r="G82" i="53"/>
  <c r="H81" i="53"/>
  <c r="H66" i="53"/>
  <c r="G67" i="53"/>
  <c r="H61" i="53"/>
  <c r="G62" i="53"/>
  <c r="I74" i="53"/>
  <c r="U75" i="53" s="1"/>
  <c r="S42" i="53" l="1"/>
  <c r="R69" i="53"/>
  <c r="R71" i="53" s="1"/>
  <c r="P56" i="53"/>
  <c r="O57" i="53"/>
  <c r="K14" i="50"/>
  <c r="D161" i="50"/>
  <c r="D54" i="50"/>
  <c r="D143" i="50"/>
  <c r="D49" i="50"/>
  <c r="D165" i="50"/>
  <c r="D58" i="50"/>
  <c r="D167" i="50"/>
  <c r="D157" i="50"/>
  <c r="D150" i="50"/>
  <c r="D162" i="50"/>
  <c r="D28" i="50"/>
  <c r="D39" i="50"/>
  <c r="D36" i="50"/>
  <c r="D33" i="50"/>
  <c r="D51" i="50"/>
  <c r="D160" i="50"/>
  <c r="J47" i="53"/>
  <c r="J87" i="53" s="1"/>
  <c r="K41" i="53"/>
  <c r="G77" i="53"/>
  <c r="H76" i="53"/>
  <c r="I66" i="53"/>
  <c r="H67" i="53"/>
  <c r="K79" i="53"/>
  <c r="W80" i="53" s="1"/>
  <c r="H62" i="53"/>
  <c r="I61" i="53"/>
  <c r="I81" i="53"/>
  <c r="H82" i="53"/>
  <c r="J74" i="53"/>
  <c r="V75" i="53" s="1"/>
  <c r="Q56" i="53" l="1"/>
  <c r="P57" i="53"/>
  <c r="T42" i="53"/>
  <c r="S69" i="53"/>
  <c r="S71" i="53" s="1"/>
  <c r="K15" i="50"/>
  <c r="D41" i="50"/>
  <c r="D158" i="50"/>
  <c r="L41" i="53"/>
  <c r="K47" i="53"/>
  <c r="K87" i="53" s="1"/>
  <c r="I62" i="53"/>
  <c r="J61" i="53"/>
  <c r="I67" i="53"/>
  <c r="J66" i="53"/>
  <c r="H77" i="53"/>
  <c r="I76" i="53"/>
  <c r="J81" i="53"/>
  <c r="I82" i="53"/>
  <c r="L79" i="53"/>
  <c r="X80" i="53" s="1"/>
  <c r="K74" i="53"/>
  <c r="W75" i="53" s="1"/>
  <c r="U42" i="53" l="1"/>
  <c r="T69" i="53"/>
  <c r="T71" i="53" s="1"/>
  <c r="R56" i="53"/>
  <c r="Q57" i="53"/>
  <c r="K16" i="50"/>
  <c r="D44" i="50"/>
  <c r="D149" i="50"/>
  <c r="D174" i="50"/>
  <c r="D175" i="50"/>
  <c r="D170" i="50"/>
  <c r="D56" i="50"/>
  <c r="D32" i="50"/>
  <c r="D164" i="50"/>
  <c r="D37" i="50"/>
  <c r="D40" i="50"/>
  <c r="D31" i="50"/>
  <c r="D146" i="50"/>
  <c r="D153" i="50"/>
  <c r="D155" i="50"/>
  <c r="D42" i="50"/>
  <c r="D57" i="50"/>
  <c r="M41" i="53"/>
  <c r="L47" i="53"/>
  <c r="L87" i="53" s="1"/>
  <c r="K66" i="53"/>
  <c r="J67" i="53"/>
  <c r="J82" i="53"/>
  <c r="K81" i="53"/>
  <c r="M79" i="53"/>
  <c r="Y80" i="53" s="1"/>
  <c r="I77" i="53"/>
  <c r="J76" i="53"/>
  <c r="J77" i="53" s="1"/>
  <c r="J62" i="53"/>
  <c r="K61" i="53"/>
  <c r="L74" i="53"/>
  <c r="X75" i="53" s="1"/>
  <c r="S56" i="53" l="1"/>
  <c r="R57" i="53"/>
  <c r="V42" i="53"/>
  <c r="U69" i="53"/>
  <c r="U71" i="53" s="1"/>
  <c r="K17" i="50"/>
  <c r="M47" i="53"/>
  <c r="M87" i="53" s="1"/>
  <c r="N41" i="53"/>
  <c r="K82" i="53"/>
  <c r="L81" i="53"/>
  <c r="K62" i="53"/>
  <c r="L61" i="53"/>
  <c r="K76" i="53"/>
  <c r="L76" i="53" s="1"/>
  <c r="N79" i="53"/>
  <c r="Z80" i="53" s="1"/>
  <c r="K67" i="53"/>
  <c r="L66" i="53"/>
  <c r="M74" i="53"/>
  <c r="Y75" i="53" s="1"/>
  <c r="W42" i="53" l="1"/>
  <c r="V69" i="53"/>
  <c r="V71" i="53" s="1"/>
  <c r="T56" i="53"/>
  <c r="S57" i="53"/>
  <c r="K18" i="50"/>
  <c r="D176" i="50"/>
  <c r="D178" i="50"/>
  <c r="D47" i="50"/>
  <c r="D34" i="50"/>
  <c r="D144" i="50"/>
  <c r="D171" i="50"/>
  <c r="D52" i="50"/>
  <c r="D166" i="50"/>
  <c r="O41" i="53"/>
  <c r="N47" i="53"/>
  <c r="N87" i="53" s="1"/>
  <c r="K77" i="53"/>
  <c r="L62" i="53"/>
  <c r="M61" i="53"/>
  <c r="L67" i="53"/>
  <c r="M66" i="53"/>
  <c r="L82" i="53"/>
  <c r="M81" i="53"/>
  <c r="O79" i="53"/>
  <c r="AA80" i="53" s="1"/>
  <c r="N74" i="53"/>
  <c r="Z75" i="53" s="1"/>
  <c r="M76" i="53"/>
  <c r="L77" i="53"/>
  <c r="U56" i="53" l="1"/>
  <c r="T57" i="53"/>
  <c r="X42" i="53"/>
  <c r="W69" i="53"/>
  <c r="W71" i="53" s="1"/>
  <c r="K19" i="50"/>
  <c r="K20" i="50" s="1"/>
  <c r="K21" i="50" s="1"/>
  <c r="K22" i="50" s="1"/>
  <c r="K23" i="50" s="1"/>
  <c r="K24" i="50" s="1"/>
  <c r="K25" i="50" s="1"/>
  <c r="K26" i="50" s="1"/>
  <c r="K27" i="50" s="1"/>
  <c r="K28" i="50" s="1"/>
  <c r="K29" i="50" s="1"/>
  <c r="K30" i="50" s="1"/>
  <c r="K31" i="50" s="1"/>
  <c r="K32" i="50" s="1"/>
  <c r="K33" i="50" s="1"/>
  <c r="K34" i="50" s="1"/>
  <c r="K35" i="50" s="1"/>
  <c r="K36" i="50" s="1"/>
  <c r="K37" i="50" s="1"/>
  <c r="K38" i="50" s="1"/>
  <c r="K39" i="50" s="1"/>
  <c r="K40" i="50" s="1"/>
  <c r="K41" i="50" s="1"/>
  <c r="K42" i="50" s="1"/>
  <c r="K43" i="50" s="1"/>
  <c r="K44" i="50" s="1"/>
  <c r="K45" i="50" s="1"/>
  <c r="K46" i="50" s="1"/>
  <c r="K47" i="50" s="1"/>
  <c r="K48" i="50" s="1"/>
  <c r="K49" i="50" s="1"/>
  <c r="K50" i="50" s="1"/>
  <c r="K51" i="50" s="1"/>
  <c r="D169" i="50"/>
  <c r="D183" i="50"/>
  <c r="D163" i="50"/>
  <c r="D73" i="50"/>
  <c r="D80" i="50"/>
  <c r="D190" i="50"/>
  <c r="D70" i="50"/>
  <c r="D188" i="50"/>
  <c r="D156" i="50"/>
  <c r="D38" i="50"/>
  <c r="D67" i="50"/>
  <c r="O47" i="53"/>
  <c r="O87" i="53" s="1"/>
  <c r="P41" i="53"/>
  <c r="P79" i="53"/>
  <c r="N81" i="53"/>
  <c r="M82" i="53"/>
  <c r="M62" i="53"/>
  <c r="N61" i="53"/>
  <c r="M67" i="53"/>
  <c r="N66" i="53"/>
  <c r="O74" i="53"/>
  <c r="AA75" i="53" s="1"/>
  <c r="M77" i="53"/>
  <c r="N76" i="53"/>
  <c r="Y42" i="53" l="1"/>
  <c r="X69" i="53"/>
  <c r="X71" i="53" s="1"/>
  <c r="V56" i="53"/>
  <c r="U57" i="53"/>
  <c r="D79" i="50"/>
  <c r="D181" i="50"/>
  <c r="D81" i="50"/>
  <c r="D185" i="50"/>
  <c r="D187" i="50"/>
  <c r="D84" i="50"/>
  <c r="D91" i="50"/>
  <c r="D85" i="50"/>
  <c r="D69" i="50"/>
  <c r="D159" i="50"/>
  <c r="D77" i="50"/>
  <c r="D74" i="50"/>
  <c r="D172" i="50"/>
  <c r="D26" i="50"/>
  <c r="D53" i="50"/>
  <c r="D193" i="50"/>
  <c r="D61" i="50"/>
  <c r="D195" i="50"/>
  <c r="D60" i="50"/>
  <c r="D88" i="50"/>
  <c r="D192" i="50"/>
  <c r="D76" i="50"/>
  <c r="D191" i="50"/>
  <c r="D83" i="50"/>
  <c r="D177" i="50"/>
  <c r="D82" i="50"/>
  <c r="D46" i="50"/>
  <c r="D148" i="50"/>
  <c r="D93" i="50"/>
  <c r="D87" i="50"/>
  <c r="D89" i="50"/>
  <c r="D62" i="50"/>
  <c r="D63" i="50"/>
  <c r="D64" i="50"/>
  <c r="D95" i="50"/>
  <c r="D71" i="50"/>
  <c r="D55" i="50"/>
  <c r="D189" i="50"/>
  <c r="D186" i="50"/>
  <c r="D184" i="50"/>
  <c r="D45" i="50"/>
  <c r="D154" i="50"/>
  <c r="D194" i="50"/>
  <c r="D182" i="50"/>
  <c r="D86" i="50"/>
  <c r="D27" i="50"/>
  <c r="D179" i="50"/>
  <c r="D197" i="50"/>
  <c r="D59" i="50"/>
  <c r="D72" i="50"/>
  <c r="D94" i="50"/>
  <c r="D78" i="50"/>
  <c r="D75" i="50"/>
  <c r="D142" i="50"/>
  <c r="D65" i="50"/>
  <c r="D68" i="50"/>
  <c r="D196" i="50"/>
  <c r="D90" i="50"/>
  <c r="D180" i="50"/>
  <c r="D66" i="50"/>
  <c r="D92" i="50"/>
  <c r="P47" i="53"/>
  <c r="P87" i="53" s="1"/>
  <c r="Q41" i="53"/>
  <c r="O66" i="53"/>
  <c r="N67" i="53"/>
  <c r="N82" i="53"/>
  <c r="O81" i="53"/>
  <c r="N62" i="53"/>
  <c r="O61" i="53"/>
  <c r="Q79" i="53"/>
  <c r="P74" i="53"/>
  <c r="O76" i="53"/>
  <c r="N77" i="53"/>
  <c r="Z42" i="53" l="1"/>
  <c r="Y69" i="53"/>
  <c r="Y71" i="53" s="1"/>
  <c r="W56" i="53"/>
  <c r="V57" i="53"/>
  <c r="Q47" i="53"/>
  <c r="Q87" i="53" s="1"/>
  <c r="R41" i="53"/>
  <c r="P81" i="53"/>
  <c r="O82" i="53"/>
  <c r="O62" i="53"/>
  <c r="P61" i="53"/>
  <c r="R79" i="53"/>
  <c r="O67" i="53"/>
  <c r="P66" i="53"/>
  <c r="O77" i="53"/>
  <c r="P76" i="53"/>
  <c r="Q74" i="53"/>
  <c r="X56" i="53" l="1"/>
  <c r="W57" i="53"/>
  <c r="AA69" i="53"/>
  <c r="Z69" i="53"/>
  <c r="Z71" i="53" s="1"/>
  <c r="AA71" i="53" s="1"/>
  <c r="R47" i="53"/>
  <c r="R87" i="53" s="1"/>
  <c r="S41" i="53"/>
  <c r="P67" i="53"/>
  <c r="Q66" i="53"/>
  <c r="Q61" i="53"/>
  <c r="P62" i="53"/>
  <c r="S79" i="53"/>
  <c r="P82" i="53"/>
  <c r="Q81" i="53"/>
  <c r="P77" i="53"/>
  <c r="Q76" i="53"/>
  <c r="R74" i="53"/>
  <c r="Y56" i="53" l="1"/>
  <c r="X57" i="53"/>
  <c r="T41" i="53"/>
  <c r="S47" i="53"/>
  <c r="S87" i="53" s="1"/>
  <c r="R81" i="53"/>
  <c r="Q82" i="53"/>
  <c r="Q62" i="53"/>
  <c r="R61" i="53"/>
  <c r="Q67" i="53"/>
  <c r="R66" i="53"/>
  <c r="T79" i="53"/>
  <c r="S74" i="53"/>
  <c r="Q77" i="53"/>
  <c r="R76" i="53"/>
  <c r="Z56" i="53" l="1"/>
  <c r="Y57" i="53"/>
  <c r="T47" i="53"/>
  <c r="T87" i="53" s="1"/>
  <c r="U41" i="53"/>
  <c r="R62" i="53"/>
  <c r="S61" i="53"/>
  <c r="U79" i="53"/>
  <c r="S66" i="53"/>
  <c r="R67" i="53"/>
  <c r="R82" i="53"/>
  <c r="S81" i="53"/>
  <c r="S76" i="53"/>
  <c r="R77" i="53"/>
  <c r="T74" i="53"/>
  <c r="AA56" i="53" l="1"/>
  <c r="AA57" i="53" s="1"/>
  <c r="Z57" i="53"/>
  <c r="U47" i="53"/>
  <c r="U87" i="53" s="1"/>
  <c r="V41" i="53"/>
  <c r="S82" i="53"/>
  <c r="T81" i="53"/>
  <c r="S62" i="53"/>
  <c r="T61" i="53"/>
  <c r="V79" i="53"/>
  <c r="T66" i="53"/>
  <c r="S67" i="53"/>
  <c r="U74" i="53"/>
  <c r="T76" i="53"/>
  <c r="S77" i="53"/>
  <c r="V47" i="53" l="1"/>
  <c r="V87" i="53" s="1"/>
  <c r="W41" i="53"/>
  <c r="T62" i="53"/>
  <c r="U61" i="53"/>
  <c r="T82" i="53"/>
  <c r="U81" i="53"/>
  <c r="U66" i="53"/>
  <c r="T67" i="53"/>
  <c r="W79" i="53"/>
  <c r="T77" i="53"/>
  <c r="U76" i="53"/>
  <c r="V74" i="53"/>
  <c r="X41" i="53" l="1"/>
  <c r="W47" i="53"/>
  <c r="W87" i="53" s="1"/>
  <c r="V81" i="53"/>
  <c r="U82" i="53"/>
  <c r="U62" i="53"/>
  <c r="V61" i="53"/>
  <c r="X79" i="53"/>
  <c r="U67" i="53"/>
  <c r="V66" i="53"/>
  <c r="W74" i="53"/>
  <c r="V76" i="53"/>
  <c r="U77" i="53"/>
  <c r="X47" i="53" l="1"/>
  <c r="X87" i="53" s="1"/>
  <c r="Y41" i="53"/>
  <c r="W66" i="53"/>
  <c r="V67" i="53"/>
  <c r="W61" i="53"/>
  <c r="V62" i="53"/>
  <c r="Y79" i="53"/>
  <c r="W81" i="53"/>
  <c r="V82" i="53"/>
  <c r="V77" i="53"/>
  <c r="W76" i="53"/>
  <c r="X74" i="53"/>
  <c r="Y47" i="53" l="1"/>
  <c r="Y87" i="53" s="1"/>
  <c r="Z41" i="53"/>
  <c r="W82" i="53"/>
  <c r="X81" i="53"/>
  <c r="X61" i="53"/>
  <c r="W62" i="53"/>
  <c r="Z79" i="53"/>
  <c r="W67" i="53"/>
  <c r="X66" i="53"/>
  <c r="Y74" i="53"/>
  <c r="X76" i="53"/>
  <c r="W77" i="53"/>
  <c r="Z47" i="53" l="1"/>
  <c r="Z87" i="53" s="1"/>
  <c r="AA41" i="53"/>
  <c r="AA47" i="53" s="1"/>
  <c r="AA87" i="53" s="1"/>
  <c r="X67" i="53"/>
  <c r="Y66" i="53"/>
  <c r="X62" i="53"/>
  <c r="Y61" i="53"/>
  <c r="X82" i="53"/>
  <c r="Y81" i="53"/>
  <c r="AA79" i="53"/>
  <c r="Z74" i="53"/>
  <c r="X77" i="53"/>
  <c r="Y76" i="53"/>
  <c r="Y62" i="53" l="1"/>
  <c r="Z61" i="53"/>
  <c r="Y82" i="53"/>
  <c r="Z81" i="53"/>
  <c r="Z66" i="53"/>
  <c r="Y67" i="53"/>
  <c r="Y77" i="53"/>
  <c r="Z76" i="53"/>
  <c r="AA74" i="53"/>
  <c r="Z82" i="53" l="1"/>
  <c r="AA81" i="53"/>
  <c r="AA82" i="53" s="1"/>
  <c r="Z62" i="53"/>
  <c r="AA61" i="53"/>
  <c r="AA62" i="53" s="1"/>
  <c r="AA66" i="53"/>
  <c r="AA67" i="53" s="1"/>
  <c r="Z67" i="53"/>
  <c r="Z77" i="53"/>
  <c r="AA76" i="53"/>
  <c r="AA77" i="53" s="1"/>
  <c r="C43" i="56" l="1"/>
  <c r="C34" i="56"/>
  <c r="F22" i="53" l="1"/>
  <c r="H22" i="53" s="1"/>
  <c r="I22" i="53" s="1"/>
  <c r="D49" i="53" l="1"/>
  <c r="E49" i="53"/>
  <c r="I49" i="53"/>
  <c r="M49" i="53"/>
  <c r="Q49" i="53"/>
  <c r="U49" i="53"/>
  <c r="Y49" i="53"/>
  <c r="L49" i="53"/>
  <c r="X49" i="53"/>
  <c r="F49" i="53"/>
  <c r="J49" i="53"/>
  <c r="N49" i="53"/>
  <c r="R49" i="53"/>
  <c r="V49" i="53"/>
  <c r="Z49" i="53"/>
  <c r="H49" i="53"/>
  <c r="T49" i="53"/>
  <c r="G49" i="53"/>
  <c r="K49" i="53"/>
  <c r="O49" i="53"/>
  <c r="S49" i="53"/>
  <c r="W49" i="53"/>
  <c r="AA49" i="53"/>
  <c r="P49" i="53"/>
  <c r="C106" i="53" l="1"/>
  <c r="F112" i="53" s="1"/>
  <c r="D51" i="53"/>
  <c r="D52" i="53" s="1"/>
  <c r="D83" i="53" s="1"/>
  <c r="E51" i="53" l="1"/>
  <c r="F51" i="53" s="1"/>
  <c r="D84" i="53"/>
  <c r="D98" i="53" s="1"/>
  <c r="D97" i="53"/>
  <c r="E52" i="53" l="1"/>
  <c r="E83" i="53" s="1"/>
  <c r="E97" i="53" s="1"/>
  <c r="G51" i="53"/>
  <c r="F52" i="53"/>
  <c r="F83" i="53" s="1"/>
  <c r="E84" i="53" l="1"/>
  <c r="E98" i="53" s="1"/>
  <c r="F97" i="53"/>
  <c r="F84" i="53"/>
  <c r="F98" i="53" s="1"/>
  <c r="H51" i="53"/>
  <c r="G52" i="53"/>
  <c r="G83" i="53" s="1"/>
  <c r="I51" i="53" l="1"/>
  <c r="H52" i="53"/>
  <c r="H83" i="53" s="1"/>
  <c r="G84" i="53"/>
  <c r="G98" i="53" s="1"/>
  <c r="G97" i="53"/>
  <c r="H97" i="53" l="1"/>
  <c r="H84" i="53"/>
  <c r="H98" i="53" s="1"/>
  <c r="J51" i="53"/>
  <c r="I52" i="53"/>
  <c r="I83" i="53" s="1"/>
  <c r="I97" i="53" s="1"/>
  <c r="I84" i="53" l="1"/>
  <c r="I98" i="53" s="1"/>
  <c r="K51" i="53"/>
  <c r="J52" i="53"/>
  <c r="J83" i="53" s="1"/>
  <c r="J97" i="53" s="1"/>
  <c r="J84" i="53" l="1"/>
  <c r="J98" i="53" s="1"/>
  <c r="L51" i="53"/>
  <c r="K52" i="53"/>
  <c r="K83" i="53" s="1"/>
  <c r="K97" i="53" l="1"/>
  <c r="K84" i="53"/>
  <c r="K98" i="53" s="1"/>
  <c r="L52" i="53"/>
  <c r="L83" i="53" s="1"/>
  <c r="M51" i="53"/>
  <c r="N51" i="53" l="1"/>
  <c r="M52" i="53"/>
  <c r="M83" i="53" s="1"/>
  <c r="L97" i="53"/>
  <c r="L84" i="53"/>
  <c r="L98" i="53" s="1"/>
  <c r="O51" i="53" l="1"/>
  <c r="N52" i="53"/>
  <c r="N83" i="53" s="1"/>
  <c r="M97" i="53"/>
  <c r="M84" i="53"/>
  <c r="M98" i="53" s="1"/>
  <c r="N97" i="53" l="1"/>
  <c r="N84" i="53"/>
  <c r="N98" i="53" s="1"/>
  <c r="P51" i="53"/>
  <c r="O52" i="53"/>
  <c r="O83" i="53" s="1"/>
  <c r="O97" i="53" l="1"/>
  <c r="O84" i="53"/>
  <c r="O98" i="53" s="1"/>
  <c r="Q51" i="53"/>
  <c r="P52" i="53"/>
  <c r="P83" i="53" s="1"/>
  <c r="P97" i="53" l="1"/>
  <c r="P84" i="53"/>
  <c r="P98" i="53" s="1"/>
  <c r="R51" i="53"/>
  <c r="Q52" i="53"/>
  <c r="Q83" i="53" s="1"/>
  <c r="S51" i="53" l="1"/>
  <c r="R52" i="53"/>
  <c r="R83" i="53" s="1"/>
  <c r="Q97" i="53"/>
  <c r="Q84" i="53"/>
  <c r="Q98" i="53" s="1"/>
  <c r="R97" i="53" l="1"/>
  <c r="R84" i="53"/>
  <c r="R98" i="53" s="1"/>
  <c r="T51" i="53"/>
  <c r="S52" i="53"/>
  <c r="S83" i="53" s="1"/>
  <c r="S97" i="53" l="1"/>
  <c r="S84" i="53"/>
  <c r="S98" i="53" s="1"/>
  <c r="U51" i="53"/>
  <c r="T52" i="53"/>
  <c r="T83" i="53" s="1"/>
  <c r="T97" i="53" l="1"/>
  <c r="T84" i="53"/>
  <c r="T98" i="53" s="1"/>
  <c r="V51" i="53"/>
  <c r="U52" i="53"/>
  <c r="U83" i="53" s="1"/>
  <c r="U97" i="53" l="1"/>
  <c r="U84" i="53"/>
  <c r="U98" i="53" s="1"/>
  <c r="W51" i="53"/>
  <c r="V52" i="53"/>
  <c r="V83" i="53" s="1"/>
  <c r="V97" i="53" l="1"/>
  <c r="V84" i="53"/>
  <c r="V98" i="53" s="1"/>
  <c r="X51" i="53"/>
  <c r="W52" i="53"/>
  <c r="W83" i="53" s="1"/>
  <c r="W97" i="53" l="1"/>
  <c r="W84" i="53"/>
  <c r="W98" i="53" s="1"/>
  <c r="Y51" i="53"/>
  <c r="X52" i="53"/>
  <c r="X83" i="53" s="1"/>
  <c r="X97" i="53" l="1"/>
  <c r="X84" i="53"/>
  <c r="X98" i="53" s="1"/>
  <c r="Z51" i="53"/>
  <c r="Y52" i="53"/>
  <c r="Y83" i="53" s="1"/>
  <c r="AA51" i="53" l="1"/>
  <c r="AA52" i="53" s="1"/>
  <c r="AA83" i="53" s="1"/>
  <c r="Z52" i="53"/>
  <c r="Z83" i="53" s="1"/>
  <c r="Y97" i="53"/>
  <c r="Y84" i="53"/>
  <c r="Y98" i="53" s="1"/>
  <c r="Z97" i="53" l="1"/>
  <c r="Z84" i="53"/>
  <c r="Z98" i="53" s="1"/>
  <c r="AA97" i="53"/>
  <c r="AA84" i="53"/>
  <c r="C104" i="53" l="1"/>
  <c r="E27" i="56" s="1"/>
  <c r="E29" i="56" s="1"/>
  <c r="C102" i="53"/>
  <c r="C112" i="53" s="1"/>
  <c r="AA98" i="53"/>
  <c r="C105" i="53" s="1"/>
  <c r="E112" i="53" s="1"/>
  <c r="C103" i="53" l="1"/>
  <c r="D112" i="53"/>
</calcChain>
</file>

<file path=xl/sharedStrings.xml><?xml version="1.0" encoding="utf-8"?>
<sst xmlns="http://schemas.openxmlformats.org/spreadsheetml/2006/main" count="2834" uniqueCount="1046">
  <si>
    <t>Total</t>
  </si>
  <si>
    <t>Overall Stats</t>
  </si>
  <si>
    <t>Overall</t>
  </si>
  <si>
    <t xml:space="preserve"> </t>
  </si>
  <si>
    <t>Understanding the Data</t>
  </si>
  <si>
    <t>Social Media PPC Campaign Data</t>
  </si>
  <si>
    <t>Date</t>
  </si>
  <si>
    <t>Facebook Impressions</t>
  </si>
  <si>
    <t>Facebook Clicks</t>
  </si>
  <si>
    <t>Facebook Cost</t>
  </si>
  <si>
    <t>Facebook Conversions</t>
  </si>
  <si>
    <t>Facebook Campaign ID</t>
  </si>
  <si>
    <t>AW_Apr17</t>
  </si>
  <si>
    <t>AW_May17</t>
  </si>
  <si>
    <t>AW_Jun17</t>
  </si>
  <si>
    <t>FB_Apr17</t>
  </si>
  <si>
    <t>FB_May17</t>
  </si>
  <si>
    <t>FB_Jun17</t>
  </si>
  <si>
    <t>Facebook CTR</t>
  </si>
  <si>
    <t>Facebook CVR</t>
  </si>
  <si>
    <t>AdWords</t>
  </si>
  <si>
    <t>Budget</t>
  </si>
  <si>
    <t>CPC Avg</t>
  </si>
  <si>
    <t>CVR %</t>
  </si>
  <si>
    <t>Cost/lead</t>
  </si>
  <si>
    <t># Clicks</t>
  </si>
  <si>
    <t>Lead CVR %</t>
  </si>
  <si>
    <t># Leads</t>
  </si>
  <si>
    <t>Name</t>
  </si>
  <si>
    <t>Margin</t>
  </si>
  <si>
    <t>Ad Spend</t>
  </si>
  <si>
    <t>Facebook</t>
  </si>
  <si>
    <t># Impressions</t>
  </si>
  <si>
    <t>CTR</t>
  </si>
  <si>
    <t>CPC</t>
  </si>
  <si>
    <t>AdWords Stats by Ad</t>
  </si>
  <si>
    <t>Facebook Stats by Ad</t>
  </si>
  <si>
    <t>Calculating Cost per Lead</t>
  </si>
  <si>
    <t>Lowery, Easton</t>
  </si>
  <si>
    <t>Flowers, Franco</t>
  </si>
  <si>
    <t>Allison, Maeve</t>
  </si>
  <si>
    <t>Cuevas, Darnell</t>
  </si>
  <si>
    <t>Lamb, Porter</t>
  </si>
  <si>
    <t>Callahan, Jaqueline</t>
  </si>
  <si>
    <t>Jordan, Hailee</t>
  </si>
  <si>
    <t>Olsen, Kyle</t>
  </si>
  <si>
    <t>Beasley, Molly</t>
  </si>
  <si>
    <t>Watts, Pablo</t>
  </si>
  <si>
    <t>Melendez, Izabelle</t>
  </si>
  <si>
    <t>Cohen, Jenny</t>
  </si>
  <si>
    <t>Burns, Gage</t>
  </si>
  <si>
    <t>Guerrero, Sierra</t>
  </si>
  <si>
    <t>Wagner, Laura</t>
  </si>
  <si>
    <t>Mclean, Freddy</t>
  </si>
  <si>
    <t>Powell, Angie</t>
  </si>
  <si>
    <t>Sampson, Kylie</t>
  </si>
  <si>
    <t>Aguilar, Evangeline</t>
  </si>
  <si>
    <t>Jenkins, Shelby</t>
  </si>
  <si>
    <t>Johnston, Brendon</t>
  </si>
  <si>
    <t>Jimenez, Belen</t>
  </si>
  <si>
    <t>Coffey, Kinsley</t>
  </si>
  <si>
    <t>Brady, Ahmad</t>
  </si>
  <si>
    <t>Dean, Julia</t>
  </si>
  <si>
    <t>Wheeler, Jocelyn</t>
  </si>
  <si>
    <t>Cole, Owen</t>
  </si>
  <si>
    <t>Adkins, Mya</t>
  </si>
  <si>
    <t>Hudson, Johnny</t>
  </si>
  <si>
    <t>Schneider, Delaney</t>
  </si>
  <si>
    <t>Parker, Jayleen</t>
  </si>
  <si>
    <t>Greene, Zain</t>
  </si>
  <si>
    <t>Silva, Alicia</t>
  </si>
  <si>
    <t>Avery, Alexia</t>
  </si>
  <si>
    <t>Fox, Quincy</t>
  </si>
  <si>
    <t>Lawson, Branden</t>
  </si>
  <si>
    <t>Kemp, Bradyn</t>
  </si>
  <si>
    <t>Gibbs, Janet</t>
  </si>
  <si>
    <t>Holloway, Yesenia</t>
  </si>
  <si>
    <t>Clarke, Mikaela</t>
  </si>
  <si>
    <t>Cross, Ross</t>
  </si>
  <si>
    <t>Farrell, Raegan</t>
  </si>
  <si>
    <t>Livingston, Xzavier</t>
  </si>
  <si>
    <t>Villegas, Armando</t>
  </si>
  <si>
    <t>Harding, Melvin</t>
  </si>
  <si>
    <t>Shaffer, Kendal</t>
  </si>
  <si>
    <t>Serrano, Caroline</t>
  </si>
  <si>
    <t>Stevenson, Aidyn</t>
  </si>
  <si>
    <t>Craig, Israel</t>
  </si>
  <si>
    <t>Pace, Davion</t>
  </si>
  <si>
    <t>Hahn, Dylan</t>
  </si>
  <si>
    <t>Walton, Sabrina</t>
  </si>
  <si>
    <t>Vang, Kaia</t>
  </si>
  <si>
    <t>Bautista, Maximo</t>
  </si>
  <si>
    <t>Hanna, Lawrence</t>
  </si>
  <si>
    <t>Garrison, Bridget</t>
  </si>
  <si>
    <t>Castro, Amanda</t>
  </si>
  <si>
    <t>Carey, Jake</t>
  </si>
  <si>
    <t>Snyder, Joyce</t>
  </si>
  <si>
    <t>Gutierrez, Alexzander</t>
  </si>
  <si>
    <t>Suarez, Nickolas</t>
  </si>
  <si>
    <t>Tucker, Kamren</t>
  </si>
  <si>
    <t>Pitts, Kiana</t>
  </si>
  <si>
    <t>Stark, Beau</t>
  </si>
  <si>
    <t>Mills, Ian</t>
  </si>
  <si>
    <t>Henderson, Mercedes</t>
  </si>
  <si>
    <t>Zimmerman, Reyna</t>
  </si>
  <si>
    <t>Frost, Kaeden</t>
  </si>
  <si>
    <t>Simon, Charles</t>
  </si>
  <si>
    <t>Buckley, Peyton</t>
  </si>
  <si>
    <t>Pruitt, Christina</t>
  </si>
  <si>
    <t>Hess, Eli</t>
  </si>
  <si>
    <t>Mullen, Lucille</t>
  </si>
  <si>
    <t>Zamora, Colten</t>
  </si>
  <si>
    <t>Berger, Hayden</t>
  </si>
  <si>
    <t>Harris, Christian</t>
  </si>
  <si>
    <t>Walsh, Desirae</t>
  </si>
  <si>
    <t>Blevins, Terrell</t>
  </si>
  <si>
    <t>Alvarado, Amiyah</t>
  </si>
  <si>
    <t>Waller, Marina</t>
  </si>
  <si>
    <t>Beltran, Brooks</t>
  </si>
  <si>
    <t>Booker, Samson</t>
  </si>
  <si>
    <t>Browning, Tucker</t>
  </si>
  <si>
    <t>Ford, Ariana</t>
  </si>
  <si>
    <t>Hart, Kaya</t>
  </si>
  <si>
    <t>Wilkinson, Emery</t>
  </si>
  <si>
    <t>Fowler, Phoenix</t>
  </si>
  <si>
    <t>Castaneda, Warren</t>
  </si>
  <si>
    <t>Thornton, Libby</t>
  </si>
  <si>
    <t>Cooley, India</t>
  </si>
  <si>
    <t>Perry, Dominik</t>
  </si>
  <si>
    <t>Townsend, Ashley</t>
  </si>
  <si>
    <t>Rojas, Quinn</t>
  </si>
  <si>
    <t>Cook, Abigayle</t>
  </si>
  <si>
    <t>Hurley, Phoenix</t>
  </si>
  <si>
    <t>Peterson, Chasity</t>
  </si>
  <si>
    <t>Gentry, Joe</t>
  </si>
  <si>
    <t>Bryan, Norah</t>
  </si>
  <si>
    <t>White, Emerson</t>
  </si>
  <si>
    <t>Ryan, Terry</t>
  </si>
  <si>
    <t>Christian, Carlos</t>
  </si>
  <si>
    <t>Mendez, Dillon</t>
  </si>
  <si>
    <t>Bradley, Daniella</t>
  </si>
  <si>
    <t>Durham, Leroy</t>
  </si>
  <si>
    <t>Chavez, Javier</t>
  </si>
  <si>
    <t>Ellis, Myah</t>
  </si>
  <si>
    <t>Costa, Miya</t>
  </si>
  <si>
    <t>Lane, Joaquin</t>
  </si>
  <si>
    <t>Salinas, Tristian</t>
  </si>
  <si>
    <t>Key, Yosef</t>
  </si>
  <si>
    <t>Lindsey, Orion</t>
  </si>
  <si>
    <t>Solomon, Bradley</t>
  </si>
  <si>
    <t>Robertson, Zachariah</t>
  </si>
  <si>
    <t>Zavala, Sophia</t>
  </si>
  <si>
    <t>Benitez, Joel</t>
  </si>
  <si>
    <t>Collins, Antony</t>
  </si>
  <si>
    <t>Donovan, Luna</t>
  </si>
  <si>
    <t>York, Nicolas</t>
  </si>
  <si>
    <t>Krause, Hailie</t>
  </si>
  <si>
    <t>Mayo, Angelina</t>
  </si>
  <si>
    <t>Whitehead, Moses</t>
  </si>
  <si>
    <t>Crawford, Kaylee</t>
  </si>
  <si>
    <t>Boone, Natalie</t>
  </si>
  <si>
    <t>Estes, Anya</t>
  </si>
  <si>
    <t>Wallace, Jordyn</t>
  </si>
  <si>
    <t>Franklin, Anabelle</t>
  </si>
  <si>
    <t>Simpson, Regina</t>
  </si>
  <si>
    <t>Holmes, Giancarlo</t>
  </si>
  <si>
    <t>Acosta, Finn</t>
  </si>
  <si>
    <t>Pham, Rowan</t>
  </si>
  <si>
    <t>Huff, Malia</t>
  </si>
  <si>
    <t>Beard, Dakota</t>
  </si>
  <si>
    <t>Baxter, Karsyn</t>
  </si>
  <si>
    <t>Duffy, Izayah</t>
  </si>
  <si>
    <t>Kaufman, Marcus</t>
  </si>
  <si>
    <t>Lyons, Anika</t>
  </si>
  <si>
    <t>Lynch, Cullen</t>
  </si>
  <si>
    <t>Garrett, Sharon</t>
  </si>
  <si>
    <t>Cordova, Moises</t>
  </si>
  <si>
    <t>Fry, Adam</t>
  </si>
  <si>
    <t>Bright, Britney</t>
  </si>
  <si>
    <t>Rush, Maryjane</t>
  </si>
  <si>
    <t>Andrade, Adyson</t>
  </si>
  <si>
    <t>Ball, Marlene</t>
  </si>
  <si>
    <t>Gillespie, Trenton</t>
  </si>
  <si>
    <t>Petersen, Morgan</t>
  </si>
  <si>
    <t>May, Dayanara</t>
  </si>
  <si>
    <t>Henson, Donna</t>
  </si>
  <si>
    <t>Case, Devin</t>
  </si>
  <si>
    <t>Fields, Lilly</t>
  </si>
  <si>
    <t>Crane, Julie</t>
  </si>
  <si>
    <t>Daniel, Toby</t>
  </si>
  <si>
    <t>Ramirez, Naomi</t>
  </si>
  <si>
    <t>Skinner, Davian</t>
  </si>
  <si>
    <t>Vazquez, Rafael</t>
  </si>
  <si>
    <t>Crosby, Ariel</t>
  </si>
  <si>
    <t>Grimes, Deanna</t>
  </si>
  <si>
    <t>Blackburn, Karma</t>
  </si>
  <si>
    <t>Barry, Fernando</t>
  </si>
  <si>
    <t>Hensley, Raven</t>
  </si>
  <si>
    <t>Cooper, Danielle</t>
  </si>
  <si>
    <t>Stokes, Jennifer</t>
  </si>
  <si>
    <t>Parks, Jacoby</t>
  </si>
  <si>
    <t>Reyes, Rylie</t>
  </si>
  <si>
    <t>Moreno, Mekhi</t>
  </si>
  <si>
    <t>Vasquez, Payton</t>
  </si>
  <si>
    <t>Christensen, Tristen</t>
  </si>
  <si>
    <t>Leach, Byron</t>
  </si>
  <si>
    <t>Horton, Kymani</t>
  </si>
  <si>
    <t>West, Kimberly</t>
  </si>
  <si>
    <t>Fuentes, Alice</t>
  </si>
  <si>
    <t>Clay, Demarion</t>
  </si>
  <si>
    <t>Roach, Angelo</t>
  </si>
  <si>
    <t>Cowan, Clayton</t>
  </si>
  <si>
    <t>Lester, Jensen</t>
  </si>
  <si>
    <t>Freeman, Emery</t>
  </si>
  <si>
    <t>Goodman, Jean</t>
  </si>
  <si>
    <t>Pollard, Shiloh</t>
  </si>
  <si>
    <t>Beck, Cristian</t>
  </si>
  <si>
    <t>Charles, Miriam</t>
  </si>
  <si>
    <t>Richards, Declan</t>
  </si>
  <si>
    <t>Khan, Arely</t>
  </si>
  <si>
    <t>Keller, Makena</t>
  </si>
  <si>
    <t>Cline, Mitchell</t>
  </si>
  <si>
    <t>Bean, Miguel</t>
  </si>
  <si>
    <t>Erickson, Asher</t>
  </si>
  <si>
    <t>Kidd, Samantha</t>
  </si>
  <si>
    <t>Blanchard, Jaden</t>
  </si>
  <si>
    <t>Briggs, Paloma</t>
  </si>
  <si>
    <t>Stephenson, Marquis</t>
  </si>
  <si>
    <t>Patrick, Rocco</t>
  </si>
  <si>
    <t>Ali, Reed</t>
  </si>
  <si>
    <t>Cobb, Nathanial</t>
  </si>
  <si>
    <t>Burgess, Larissa</t>
  </si>
  <si>
    <t>Cunningham, Megan</t>
  </si>
  <si>
    <t>Sanders, Brennan</t>
  </si>
  <si>
    <t>Hale, Kyra</t>
  </si>
  <si>
    <t>Chang, Ashlyn</t>
  </si>
  <si>
    <t>Clark, Ryland</t>
  </si>
  <si>
    <t>Porter, Johnathan</t>
  </si>
  <si>
    <t>Dickerson, Alexandria</t>
  </si>
  <si>
    <t>Love, Max</t>
  </si>
  <si>
    <t>Hancock, Axel</t>
  </si>
  <si>
    <t>Baldwin, Jaylene</t>
  </si>
  <si>
    <t>Carter, Semaj</t>
  </si>
  <si>
    <t>Greer, Gilberto</t>
  </si>
  <si>
    <t>Price, Darryl</t>
  </si>
  <si>
    <t>Davidson, Christine</t>
  </si>
  <si>
    <t>Padilla, Ayanna</t>
  </si>
  <si>
    <t>Velasquez, Josh</t>
  </si>
  <si>
    <t>Luna, Madyson</t>
  </si>
  <si>
    <t>Moyer, Elliot</t>
  </si>
  <si>
    <t>Weiss, Lucas</t>
  </si>
  <si>
    <t>Stevens, Colt</t>
  </si>
  <si>
    <t>Frye, Jamie</t>
  </si>
  <si>
    <t>Armstrong, Holden</t>
  </si>
  <si>
    <t>Noble, Sonny</t>
  </si>
  <si>
    <t>Yu, Brenda</t>
  </si>
  <si>
    <t>Rodriguez, Sterling</t>
  </si>
  <si>
    <t>Madden, Reece</t>
  </si>
  <si>
    <t>Hoffman, Rory</t>
  </si>
  <si>
    <t>Clayton, Ashanti</t>
  </si>
  <si>
    <t>Cummings, Kendall</t>
  </si>
  <si>
    <t>Becker, Makai</t>
  </si>
  <si>
    <t>Trujillo, Madden</t>
  </si>
  <si>
    <t>Valencia, Maci</t>
  </si>
  <si>
    <t>Payne, Allan</t>
  </si>
  <si>
    <t>Hebert, Shawn</t>
  </si>
  <si>
    <t>Riley, Maya</t>
  </si>
  <si>
    <t>Berg, Maurice</t>
  </si>
  <si>
    <t>Hutchinson, Teagan</t>
  </si>
  <si>
    <t>Morgan, Dennis</t>
  </si>
  <si>
    <t>Fischer, Leslie</t>
  </si>
  <si>
    <t>Strickland, Camden</t>
  </si>
  <si>
    <t>Garza, Shannon</t>
  </si>
  <si>
    <t>Delacruz, Lola</t>
  </si>
  <si>
    <t>Reese, Rosa</t>
  </si>
  <si>
    <t>Hall, Kailey</t>
  </si>
  <si>
    <t>Cantu, Erika</t>
  </si>
  <si>
    <t>Arellano, Princess</t>
  </si>
  <si>
    <t>Johnson, Kason</t>
  </si>
  <si>
    <t>Velez, Maxim</t>
  </si>
  <si>
    <t>Harrison, Ahmed</t>
  </si>
  <si>
    <t>Lang, Dario</t>
  </si>
  <si>
    <t>Bonilla, Darwin</t>
  </si>
  <si>
    <t>Whitney, Lexie</t>
  </si>
  <si>
    <t>Preston, Marilyn</t>
  </si>
  <si>
    <t>Ortiz, Kennedi</t>
  </si>
  <si>
    <t>Soto, Chelsea</t>
  </si>
  <si>
    <t>Simmons, Martin</t>
  </si>
  <si>
    <t>Bowen, Erin</t>
  </si>
  <si>
    <t>Nunez, Keyla</t>
  </si>
  <si>
    <t>Robles, Isla</t>
  </si>
  <si>
    <t>Willis, Kassandra</t>
  </si>
  <si>
    <t>Jensen, Jagger</t>
  </si>
  <si>
    <t>Mata, Emilie</t>
  </si>
  <si>
    <t>Webb, Sergio</t>
  </si>
  <si>
    <t>Neal, Reilly</t>
  </si>
  <si>
    <t>Montoya, Briana</t>
  </si>
  <si>
    <t>Kennedy, Nick</t>
  </si>
  <si>
    <t>Sharp, Baron</t>
  </si>
  <si>
    <t>Johns, Alessandro</t>
  </si>
  <si>
    <t>Orr, Yurem</t>
  </si>
  <si>
    <t>Peters, Monica</t>
  </si>
  <si>
    <t>Edwards, Celia</t>
  </si>
  <si>
    <t>Nixon, Dashawn</t>
  </si>
  <si>
    <t>Reid, Raul</t>
  </si>
  <si>
    <t>Hurst, Khloe</t>
  </si>
  <si>
    <t>Ochoa, Payten</t>
  </si>
  <si>
    <t>Chapman, Keegan</t>
  </si>
  <si>
    <t>Dawson, Carleigh</t>
  </si>
  <si>
    <t>Dillon, Alisha</t>
  </si>
  <si>
    <t>Fleming, Zavier</t>
  </si>
  <si>
    <t>Burnett, Adalynn</t>
  </si>
  <si>
    <t>Herman, Salvatore</t>
  </si>
  <si>
    <t>Stewart, Harold</t>
  </si>
  <si>
    <t>Nichols, Magdalena</t>
  </si>
  <si>
    <t>Thompson, Donovan</t>
  </si>
  <si>
    <t>Poole, Jair</t>
  </si>
  <si>
    <t>Haney, Gabriela</t>
  </si>
  <si>
    <t>Wang, Donavan</t>
  </si>
  <si>
    <t>Aguirre, Akira</t>
  </si>
  <si>
    <t>Russo, Alfredo</t>
  </si>
  <si>
    <t>Smith, Dominique</t>
  </si>
  <si>
    <t>Rivera, Rayne</t>
  </si>
  <si>
    <t>Marquez, Rodney</t>
  </si>
  <si>
    <t>Powers, Tyrone</t>
  </si>
  <si>
    <t>Howell, Tyson</t>
  </si>
  <si>
    <t>Rodgers, Kingston</t>
  </si>
  <si>
    <t>Finley, Kathy</t>
  </si>
  <si>
    <t>Scott, Demetrius</t>
  </si>
  <si>
    <t>Welch, Jerimiah</t>
  </si>
  <si>
    <t>Santana, Kierra</t>
  </si>
  <si>
    <t>Banks, Hunter</t>
  </si>
  <si>
    <t>Ferrell, Isaias</t>
  </si>
  <si>
    <t>Perkins, Aniya</t>
  </si>
  <si>
    <t>Mann, Campbell</t>
  </si>
  <si>
    <t>Ross, Tobias</t>
  </si>
  <si>
    <t>Blankenship, Kathryn</t>
  </si>
  <si>
    <t>Jennings, Eden</t>
  </si>
  <si>
    <t>Acevedo, Pamela</t>
  </si>
  <si>
    <t>Pratt, Karina</t>
  </si>
  <si>
    <t>Hines, Tanya</t>
  </si>
  <si>
    <t>Harrington, Abby</t>
  </si>
  <si>
    <t>Bailey, Calvin</t>
  </si>
  <si>
    <t>Gould, Ryan</t>
  </si>
  <si>
    <t>Heath, Carlee</t>
  </si>
  <si>
    <t>Dyer, Wyatt</t>
  </si>
  <si>
    <t>Santiago, Carolina</t>
  </si>
  <si>
    <t>Atkins, Alonso</t>
  </si>
  <si>
    <t>Leblanc, Daniel</t>
  </si>
  <si>
    <t>Nielsen, Sage</t>
  </si>
  <si>
    <t>Buck, Joselyn</t>
  </si>
  <si>
    <t>Randolph, Lennon</t>
  </si>
  <si>
    <t>Levy, Tyrell</t>
  </si>
  <si>
    <t>Nelson, Ronnie</t>
  </si>
  <si>
    <t>Campbell, Landon</t>
  </si>
  <si>
    <t>Flynn, Chase</t>
  </si>
  <si>
    <t>Morales, Nataly</t>
  </si>
  <si>
    <t>Blackwell, Lee</t>
  </si>
  <si>
    <t>Sullivan, Mikayla</t>
  </si>
  <si>
    <t>Howe, Lila</t>
  </si>
  <si>
    <t>Avila, Ronald</t>
  </si>
  <si>
    <t>Chaney, Damarion</t>
  </si>
  <si>
    <t>Galvan, Elvis</t>
  </si>
  <si>
    <t>Ayers, Rubi</t>
  </si>
  <si>
    <t>Sandoval, Bailee</t>
  </si>
  <si>
    <t>Klein, Darius</t>
  </si>
  <si>
    <t>Monroe, Dereon</t>
  </si>
  <si>
    <t>Ellison, Desmond</t>
  </si>
  <si>
    <t>Dudley, Kenzie</t>
  </si>
  <si>
    <t>Bass, Carlo</t>
  </si>
  <si>
    <t>Wood, Lilah</t>
  </si>
  <si>
    <t>Pittman, Will</t>
  </si>
  <si>
    <t>Mercado, Jovanny</t>
  </si>
  <si>
    <t>Barajas, Andrea</t>
  </si>
  <si>
    <t>Schwartz, Reuben</t>
  </si>
  <si>
    <t>Michael, Noelle</t>
  </si>
  <si>
    <t>Jackson, Keyon</t>
  </si>
  <si>
    <t>Larsen, Josephine</t>
  </si>
  <si>
    <t>Underwood, Jaycee</t>
  </si>
  <si>
    <t>Huffman, Juliana</t>
  </si>
  <si>
    <t>Osborne, Harley</t>
  </si>
  <si>
    <t>Baird, Carina</t>
  </si>
  <si>
    <t>Alvarez, Raphael</t>
  </si>
  <si>
    <t>Burton, German</t>
  </si>
  <si>
    <t>Matthews, Thalia</t>
  </si>
  <si>
    <t>Estrada, Beckett</t>
  </si>
  <si>
    <t>Le, Paxton</t>
  </si>
  <si>
    <t>Patterson, Parker</t>
  </si>
  <si>
    <t>Pineda, Johanna</t>
  </si>
  <si>
    <t>Mathis, Isiah</t>
  </si>
  <si>
    <t>Leonard, Amira</t>
  </si>
  <si>
    <t>Miranda, Camila</t>
  </si>
  <si>
    <t>Valdez, Addisyn</t>
  </si>
  <si>
    <t>Shelton, Joseph</t>
  </si>
  <si>
    <t>Rich, Yadira</t>
  </si>
  <si>
    <t>Morris, Vanessa</t>
  </si>
  <si>
    <t>Ruiz, Brynn</t>
  </si>
  <si>
    <t>Sherman, Curtis</t>
  </si>
  <si>
    <t>Hickman, Justin</t>
  </si>
  <si>
    <t>Dalton, Tyree</t>
  </si>
  <si>
    <t>Barker, Yadiel</t>
  </si>
  <si>
    <t>Barr, Lorenzo</t>
  </si>
  <si>
    <t>Sawyer, Krista</t>
  </si>
  <si>
    <t>Shepard, Memphis</t>
  </si>
  <si>
    <t>Andersen, Anahi</t>
  </si>
  <si>
    <t>Robinson, Angel</t>
  </si>
  <si>
    <t>Villarreal, Frances</t>
  </si>
  <si>
    <t>Farmer, Adrian</t>
  </si>
  <si>
    <t>Graves, Nathaniel</t>
  </si>
  <si>
    <t>Young, Matteo</t>
  </si>
  <si>
    <t>Kirk, Cassie</t>
  </si>
  <si>
    <t>Braun, Janiyah</t>
  </si>
  <si>
    <t>Bullock, Rex</t>
  </si>
  <si>
    <t>Woodward, Shamar</t>
  </si>
  <si>
    <t>Bernard, London</t>
  </si>
  <si>
    <t>Patton, Todd</t>
  </si>
  <si>
    <t>Higgins, Yamilet</t>
  </si>
  <si>
    <t>Ewing, Leyla</t>
  </si>
  <si>
    <t>Yoder, Mollie</t>
  </si>
  <si>
    <t>Reynolds, Jaylyn</t>
  </si>
  <si>
    <t>Barnes, Jazlynn</t>
  </si>
  <si>
    <t>Garner, Kyler</t>
  </si>
  <si>
    <t>Lambert, Kyleigh</t>
  </si>
  <si>
    <t>Archer, Dallas</t>
  </si>
  <si>
    <t>Newman, Parker</t>
  </si>
  <si>
    <t>Kaiser, Ana</t>
  </si>
  <si>
    <t>Rios, Shyla</t>
  </si>
  <si>
    <t>Colon, Derick</t>
  </si>
  <si>
    <t>Quinn, Rylee</t>
  </si>
  <si>
    <t>Molina, Esteban</t>
  </si>
  <si>
    <t>Sexton, Phoebe</t>
  </si>
  <si>
    <t>Stephens, Cedric</t>
  </si>
  <si>
    <t>Kerr, Sandra</t>
  </si>
  <si>
    <t>Murphy, Elisa</t>
  </si>
  <si>
    <t>Weaver, Rose</t>
  </si>
  <si>
    <t>Alexander, Alfonso</t>
  </si>
  <si>
    <t>Wong, Anabella</t>
  </si>
  <si>
    <t>Prince, Zayne</t>
  </si>
  <si>
    <t>Nolan, Lindsey</t>
  </si>
  <si>
    <t>Mueller, Annabella</t>
  </si>
  <si>
    <t>Buchanan, Simone</t>
  </si>
  <si>
    <t>Cantrell, Samuel</t>
  </si>
  <si>
    <t>Hartman, Leia</t>
  </si>
  <si>
    <t>Orozco, Janiah</t>
  </si>
  <si>
    <t>Walter, Arturo</t>
  </si>
  <si>
    <t>Cochran, Terrance</t>
  </si>
  <si>
    <t>Rasmussen, Kiersten</t>
  </si>
  <si>
    <t>Griffith, Travis</t>
  </si>
  <si>
    <t>Contreras, Roman</t>
  </si>
  <si>
    <t>Walters, Juan</t>
  </si>
  <si>
    <t>Valentine, Gary</t>
  </si>
  <si>
    <t>Mason, Stephanie</t>
  </si>
  <si>
    <t>Faulkner, Harley</t>
  </si>
  <si>
    <t>Hogan, Allisson</t>
  </si>
  <si>
    <t>Potter, Brielle</t>
  </si>
  <si>
    <t>Haas, Georgia</t>
  </si>
  <si>
    <t>Anderson, Kayden</t>
  </si>
  <si>
    <t>Lara, Jordan</t>
  </si>
  <si>
    <t>Fletcher, Helena</t>
  </si>
  <si>
    <t>Patel, Yuliana</t>
  </si>
  <si>
    <t>Bruce, Konnor</t>
  </si>
  <si>
    <t>Snow, Kane</t>
  </si>
  <si>
    <t>Small, Victor</t>
  </si>
  <si>
    <t>Bennett, Abbey</t>
  </si>
  <si>
    <t>Middleton, Marisol</t>
  </si>
  <si>
    <t>Hendrix, Ernest</t>
  </si>
  <si>
    <t>Pope, Gabrielle</t>
  </si>
  <si>
    <t>Nguyen, Iyana</t>
  </si>
  <si>
    <t>Carson, Aditya</t>
  </si>
  <si>
    <t>Graham, Simon</t>
  </si>
  <si>
    <t>Glover, Jaime</t>
  </si>
  <si>
    <t>Golden, Baylee</t>
  </si>
  <si>
    <t>Brandt, Gunnar</t>
  </si>
  <si>
    <t>Vega, Lea</t>
  </si>
  <si>
    <t>Rosario, Russell</t>
  </si>
  <si>
    <t>Stafford, Gretchen</t>
  </si>
  <si>
    <t>Good, Marissa</t>
  </si>
  <si>
    <t>Ward, Ashlynn</t>
  </si>
  <si>
    <t>Gamble, Leilani</t>
  </si>
  <si>
    <t>Curry, Madalynn</t>
  </si>
  <si>
    <t>Schaefer, Frederick</t>
  </si>
  <si>
    <t>Riggs, Christopher</t>
  </si>
  <si>
    <t>Singleton, Faith</t>
  </si>
  <si>
    <t>Velazquez, Aubree</t>
  </si>
  <si>
    <t>Hester, Maximillian</t>
  </si>
  <si>
    <t>Saunders, Diya</t>
  </si>
  <si>
    <t>Dunlap, Derrick</t>
  </si>
  <si>
    <t>Robbins, Carlie</t>
  </si>
  <si>
    <t>Richard, Aryana</t>
  </si>
  <si>
    <t>Barton, Edward</t>
  </si>
  <si>
    <t>Fitzgerald, Tripp</t>
  </si>
  <si>
    <t>Knox, Amya</t>
  </si>
  <si>
    <t>Cannon, Salvador</t>
  </si>
  <si>
    <t>Yates, Mina</t>
  </si>
  <si>
    <t>Ballard, Laney</t>
  </si>
  <si>
    <t>Juarez, Mira</t>
  </si>
  <si>
    <t>Henry, Ryann</t>
  </si>
  <si>
    <t>Bishop, Allie</t>
  </si>
  <si>
    <t>Wiley, Marley</t>
  </si>
  <si>
    <t>Lam, Sydnee</t>
  </si>
  <si>
    <t>Russell, Mauricio</t>
  </si>
  <si>
    <t>Nicholson, Duncan</t>
  </si>
  <si>
    <t>Marks, Jaylee</t>
  </si>
  <si>
    <t>Mayer, Gwendolyn</t>
  </si>
  <si>
    <t>Peck, Aleah</t>
  </si>
  <si>
    <t>Coleman, Milo</t>
  </si>
  <si>
    <t>Todd, Livia</t>
  </si>
  <si>
    <t>Woodard, Eleanor</t>
  </si>
  <si>
    <t>Hinton, Jovanni</t>
  </si>
  <si>
    <t>Friedman, Griffin</t>
  </si>
  <si>
    <t>Proctor, Aubrey</t>
  </si>
  <si>
    <t>Bartlett, Bryant</t>
  </si>
  <si>
    <t>Dougherty, Amina</t>
  </si>
  <si>
    <t>Spencer, Margaret</t>
  </si>
  <si>
    <t>Mosley, Damien</t>
  </si>
  <si>
    <t>Forbes, Amari</t>
  </si>
  <si>
    <t>Meyer, Jenna</t>
  </si>
  <si>
    <t>Arnold, Emmalee</t>
  </si>
  <si>
    <t>Collier, Leonel</t>
  </si>
  <si>
    <t>Burch, Clara</t>
  </si>
  <si>
    <t>Berry, Jackson</t>
  </si>
  <si>
    <t>Brewer, Bailey</t>
  </si>
  <si>
    <t>Sheppard, Brennen</t>
  </si>
  <si>
    <t>Little, Maverick</t>
  </si>
  <si>
    <t>Keith, Connor</t>
  </si>
  <si>
    <t>Lewis, Randy</t>
  </si>
  <si>
    <t>Parrish, Alondra</t>
  </si>
  <si>
    <t>Bentley, Valentino</t>
  </si>
  <si>
    <t>Sutton, Araceli</t>
  </si>
  <si>
    <t>Mathews, Aspen</t>
  </si>
  <si>
    <t>Booth, Braylen</t>
  </si>
  <si>
    <t>Hamilton, Zane</t>
  </si>
  <si>
    <t>Villa, Cade</t>
  </si>
  <si>
    <t>Salazar, Adrien</t>
  </si>
  <si>
    <t>Goodwin, George</t>
  </si>
  <si>
    <t>Roy, Gavyn</t>
  </si>
  <si>
    <t>Roman, Hamza</t>
  </si>
  <si>
    <t>Steele, James</t>
  </si>
  <si>
    <t>Camacho, Alina</t>
  </si>
  <si>
    <t>Tapia, Amir</t>
  </si>
  <si>
    <t>Warner, Bernard</t>
  </si>
  <si>
    <t>Bray, Skyler</t>
  </si>
  <si>
    <t>Hubbard, Cecelia</t>
  </si>
  <si>
    <t>Reilly, Kaylen</t>
  </si>
  <si>
    <t>Fisher, Ariella</t>
  </si>
  <si>
    <t>Yang, Cole</t>
  </si>
  <si>
    <t>Osborn, Breanna</t>
  </si>
  <si>
    <t>Jones, Kameron</t>
  </si>
  <si>
    <t>Chan, Santino</t>
  </si>
  <si>
    <t>Herring, Cordell</t>
  </si>
  <si>
    <t>Cox, Hadassah</t>
  </si>
  <si>
    <t>Lin, Layne</t>
  </si>
  <si>
    <t>Frey, Zaiden</t>
  </si>
  <si>
    <t>Shah, Rachael</t>
  </si>
  <si>
    <t>Weeks, Kamila</t>
  </si>
  <si>
    <t>Branch, Clinton</t>
  </si>
  <si>
    <t>Haynes, Kolton</t>
  </si>
  <si>
    <t>Romero, Gideon</t>
  </si>
  <si>
    <t>Wilkerson, Lorelai</t>
  </si>
  <si>
    <t>Choi, Robert</t>
  </si>
  <si>
    <t>Davis, Agustin</t>
  </si>
  <si>
    <t>Landry, Mary</t>
  </si>
  <si>
    <t>Bond, Rosemary</t>
  </si>
  <si>
    <t>Gill, Eduardo</t>
  </si>
  <si>
    <t>Merritt, Francesca</t>
  </si>
  <si>
    <t>Brown, Hayley</t>
  </si>
  <si>
    <t>Gomez, Prince</t>
  </si>
  <si>
    <t>Hill, Corinne</t>
  </si>
  <si>
    <t>Duarte, Laci</t>
  </si>
  <si>
    <t>Conway, Naima</t>
  </si>
  <si>
    <t>Vance, Fiona</t>
  </si>
  <si>
    <t>Gordon, Giuliana</t>
  </si>
  <si>
    <t>Hughes, Abril</t>
  </si>
  <si>
    <t>Kelly, Kristina</t>
  </si>
  <si>
    <t>Hooper, Kaitlynn</t>
  </si>
  <si>
    <t>Hayden, Selah</t>
  </si>
  <si>
    <t>Sellers, Nathen</t>
  </si>
  <si>
    <t>Meadows, Shane</t>
  </si>
  <si>
    <t>Lutz, June</t>
  </si>
  <si>
    <t>Logan, Timothy</t>
  </si>
  <si>
    <t>Newton, Stella</t>
  </si>
  <si>
    <t>Sanford, Sonia</t>
  </si>
  <si>
    <t>Carpenter, Tommy</t>
  </si>
  <si>
    <t>Foley, Jadon</t>
  </si>
  <si>
    <t>Caldwell, Alena</t>
  </si>
  <si>
    <t>Calderon, Coleman</t>
  </si>
  <si>
    <t>Pierce, Kayden</t>
  </si>
  <si>
    <t>Barber, Alexis</t>
  </si>
  <si>
    <t>Kelley, Beatrice</t>
  </si>
  <si>
    <t>Vargas, Evan</t>
  </si>
  <si>
    <t>Schmitt, Rhianna</t>
  </si>
  <si>
    <t>Compton, Houston</t>
  </si>
  <si>
    <t>Reed, Jaylen</t>
  </si>
  <si>
    <t>Dickson, Raelynn</t>
  </si>
  <si>
    <t>Bush, Damion</t>
  </si>
  <si>
    <t>Bryant, Hillary</t>
  </si>
  <si>
    <t>Hampton, Hazel</t>
  </si>
  <si>
    <t>Carney, Jared</t>
  </si>
  <si>
    <t>Copeland, Ashlee</t>
  </si>
  <si>
    <t>Shea, Khalil</t>
  </si>
  <si>
    <t>Huynh, Asia</t>
  </si>
  <si>
    <t>George, Mackenzie</t>
  </si>
  <si>
    <t>Phillips, Penelope</t>
  </si>
  <si>
    <t>Fernandez, Myles</t>
  </si>
  <si>
    <t>Zuniga, Braiden</t>
  </si>
  <si>
    <t>Allen, Dean</t>
  </si>
  <si>
    <t>Schmidt, Skye</t>
  </si>
  <si>
    <t>Washington, Konner</t>
  </si>
  <si>
    <t>Williamson, Liam</t>
  </si>
  <si>
    <t>Navarro, Johnathon</t>
  </si>
  <si>
    <t>Olson, Karter</t>
  </si>
  <si>
    <t>Espinoza, Sawyer</t>
  </si>
  <si>
    <t>Howard, Eddie</t>
  </si>
  <si>
    <t>Burke, Roselyn</t>
  </si>
  <si>
    <t>Riddle, Chance</t>
  </si>
  <si>
    <t>Herrera, Jasiah</t>
  </si>
  <si>
    <t>Chase, Emely</t>
  </si>
  <si>
    <t>Pennington, Vicente</t>
  </si>
  <si>
    <t>Strong, Nia</t>
  </si>
  <si>
    <t>Cruz, Cruz</t>
  </si>
  <si>
    <t>Chen, Madisyn</t>
  </si>
  <si>
    <t>Sparks, Catherine</t>
  </si>
  <si>
    <t>Maddox, Irene</t>
  </si>
  <si>
    <t>Hobbs, Francisco</t>
  </si>
  <si>
    <t>Massey, Elle</t>
  </si>
  <si>
    <t>Pacheco, Adison</t>
  </si>
  <si>
    <t>Gates, Waylon</t>
  </si>
  <si>
    <t>Summers, Immanuel</t>
  </si>
  <si>
    <t>Cabrera, Charity</t>
  </si>
  <si>
    <t>Tran, Landen</t>
  </si>
  <si>
    <t>Wells, Jordin</t>
  </si>
  <si>
    <t>Franco, Brady</t>
  </si>
  <si>
    <t>Dorsey, Kyson</t>
  </si>
  <si>
    <t>Terry, Jade</t>
  </si>
  <si>
    <t>Ware, Adelaide</t>
  </si>
  <si>
    <t>Wise, Gauge</t>
  </si>
  <si>
    <t>Lucero, Judah</t>
  </si>
  <si>
    <t>Rogers, Bianca</t>
  </si>
  <si>
    <t>Short, Jaden</t>
  </si>
  <si>
    <t>Morrison, Shayna</t>
  </si>
  <si>
    <t>Petty, Taylor</t>
  </si>
  <si>
    <t>Mack, Ishaan</t>
  </si>
  <si>
    <t>Andrews, Cristofer</t>
  </si>
  <si>
    <t>Stanton, Mohamed</t>
  </si>
  <si>
    <t>Sweeney, Alex</t>
  </si>
  <si>
    <t>Novak, Lucian</t>
  </si>
  <si>
    <t>Shepherd, Isabela</t>
  </si>
  <si>
    <t>Church, Eva</t>
  </si>
  <si>
    <t>Hull, Mallory</t>
  </si>
  <si>
    <t>Mitchell, River</t>
  </si>
  <si>
    <t>Glass, Stephen</t>
  </si>
  <si>
    <t>Escobar, Gemma</t>
  </si>
  <si>
    <t>Hansen, Ansley</t>
  </si>
  <si>
    <t>Carroll, Serenity</t>
  </si>
  <si>
    <t>Stein, Ashleigh</t>
  </si>
  <si>
    <t>Knapp, Jack</t>
  </si>
  <si>
    <t>Carlson, Edgar</t>
  </si>
  <si>
    <t>Terrell, Noe</t>
  </si>
  <si>
    <t>Holder, Claudia</t>
  </si>
  <si>
    <t>Cooke, Jefferson</t>
  </si>
  <si>
    <t>Gonzales, Darren</t>
  </si>
  <si>
    <t>Tanner, Jorge</t>
  </si>
  <si>
    <t>Gregory, Brenden</t>
  </si>
  <si>
    <t>Gonzalez, Talan</t>
  </si>
  <si>
    <t>Morse, Savannah</t>
  </si>
  <si>
    <t>Boyd, Isis</t>
  </si>
  <si>
    <t>Lee, Fletcher</t>
  </si>
  <si>
    <t>Hunter, Elsie</t>
  </si>
  <si>
    <t>Stone, Kaylynn</t>
  </si>
  <si>
    <t>Levine, Meredith</t>
  </si>
  <si>
    <t>Norton, Kobe</t>
  </si>
  <si>
    <t>Bolton, Bo</t>
  </si>
  <si>
    <t>Fritz, Rigoberto</t>
  </si>
  <si>
    <t>Deleon, Darien</t>
  </si>
  <si>
    <t>Meza, Ernesto</t>
  </si>
  <si>
    <t>Sloan, Nigel</t>
  </si>
  <si>
    <t>Walls, Eve</t>
  </si>
  <si>
    <t>Lloyd, Gracelyn</t>
  </si>
  <si>
    <t>Malone, Karla</t>
  </si>
  <si>
    <t>Kramer, Paisley</t>
  </si>
  <si>
    <t>Spears, Riley</t>
  </si>
  <si>
    <t>Mullins, Aracely</t>
  </si>
  <si>
    <t>Villanueva, Miles</t>
  </si>
  <si>
    <t>Turner, Finnegan</t>
  </si>
  <si>
    <t>Holden, Jaidyn</t>
  </si>
  <si>
    <t>Adams, Melody</t>
  </si>
  <si>
    <t>Ayala, Alan</t>
  </si>
  <si>
    <t>Wright, Jaida</t>
  </si>
  <si>
    <t>Flores, Izaiah</t>
  </si>
  <si>
    <t>Walker, Jesus</t>
  </si>
  <si>
    <t>Hodge, Leticia</t>
  </si>
  <si>
    <t>Curtis, Jordan</t>
  </si>
  <si>
    <t>Parsons, Jacqueline</t>
  </si>
  <si>
    <t>Murillo, Zaid</t>
  </si>
  <si>
    <t>Potts, Anastasia</t>
  </si>
  <si>
    <t>Rice, Pierce</t>
  </si>
  <si>
    <t>Mejia, Ellis</t>
  </si>
  <si>
    <t>Li, Kaylie</t>
  </si>
  <si>
    <t>Moran, Julio</t>
  </si>
  <si>
    <t>Butler, Erica</t>
  </si>
  <si>
    <t>Kline, Janae</t>
  </si>
  <si>
    <t>Liu, Jamarion</t>
  </si>
  <si>
    <t>Marshall, Ella</t>
  </si>
  <si>
    <t>Martin, Aurora</t>
  </si>
  <si>
    <t>Best, Jazmine</t>
  </si>
  <si>
    <t>Leon, Camryn</t>
  </si>
  <si>
    <t>English, Precious</t>
  </si>
  <si>
    <t>Cervantes, Alejandra</t>
  </si>
  <si>
    <t>Hawkins, Moshe</t>
  </si>
  <si>
    <t>Cherry, Vaughn</t>
  </si>
  <si>
    <t>Castillo, Zaniyah</t>
  </si>
  <si>
    <t>Winters, Sarah</t>
  </si>
  <si>
    <t>Holt, Mariyah</t>
  </si>
  <si>
    <t>Mendoza, Kianna</t>
  </si>
  <si>
    <t>Hernandez, Tamara</t>
  </si>
  <si>
    <t>Torres, Jason</t>
  </si>
  <si>
    <t>Tyler, Conner</t>
  </si>
  <si>
    <t>Farley, Noah</t>
  </si>
  <si>
    <t>Phelps, Philip</t>
  </si>
  <si>
    <t>Jefferson, Nelson</t>
  </si>
  <si>
    <t>Garcia, Jamir</t>
  </si>
  <si>
    <t>Melton, Madeleine</t>
  </si>
  <si>
    <t>Page, Hugo</t>
  </si>
  <si>
    <t>Green, Karlie</t>
  </si>
  <si>
    <t>Chung, Ray</t>
  </si>
  <si>
    <t>Lowe, Sasha</t>
  </si>
  <si>
    <t>Ferguson, Douglas</t>
  </si>
  <si>
    <t>Krueger, Averi</t>
  </si>
  <si>
    <t>Murray, Mason</t>
  </si>
  <si>
    <t>Arroyo, Emilee</t>
  </si>
  <si>
    <t>Francis, Greta</t>
  </si>
  <si>
    <t>Paul, Nico</t>
  </si>
  <si>
    <t>Galloway, Ulises</t>
  </si>
  <si>
    <t>Rosales, Mohammad</t>
  </si>
  <si>
    <t>Daugherty, Camron</t>
  </si>
  <si>
    <t>Doyle, Nayeli</t>
  </si>
  <si>
    <t>Moore, Nathalie</t>
  </si>
  <si>
    <t>Drake, Gerardo</t>
  </si>
  <si>
    <t>Boyle, Hannah</t>
  </si>
  <si>
    <t>Bates, Giselle</t>
  </si>
  <si>
    <t>Duran, Ricardo</t>
  </si>
  <si>
    <t>Conner, Ethan</t>
  </si>
  <si>
    <t>Cain, Luke</t>
  </si>
  <si>
    <t>Bender, Jermaine</t>
  </si>
  <si>
    <t>Glenn, Aimee</t>
  </si>
  <si>
    <t>Ponce, Gianni</t>
  </si>
  <si>
    <t>Haley, Trevor</t>
  </si>
  <si>
    <t>Rangel, Kassidy</t>
  </si>
  <si>
    <t>Brennan, Jonathon</t>
  </si>
  <si>
    <t>Roberson, Mathew</t>
  </si>
  <si>
    <t>Sims, Meghan</t>
  </si>
  <si>
    <t>Roth, Isaac</t>
  </si>
  <si>
    <t>Richmond, Juliet</t>
  </si>
  <si>
    <t>Meyers, Giovanny</t>
  </si>
  <si>
    <t>Wolf, Keith</t>
  </si>
  <si>
    <t>Lynn, Nathaly</t>
  </si>
  <si>
    <t>Kent, Jovani</t>
  </si>
  <si>
    <t>Randall, Kendall</t>
  </si>
  <si>
    <t>Gilbert, Dale</t>
  </si>
  <si>
    <t>Carrillo, Annalise</t>
  </si>
  <si>
    <t>Guzman, Brenna</t>
  </si>
  <si>
    <t>Ibarra, Adonis</t>
  </si>
  <si>
    <t>Reeves, Mohammed</t>
  </si>
  <si>
    <t>Ramos, Hallie</t>
  </si>
  <si>
    <t>King, Ronin</t>
  </si>
  <si>
    <t>Vaughan, Davis</t>
  </si>
  <si>
    <t>Hunt, Camren</t>
  </si>
  <si>
    <t>Zhang, Ada</t>
  </si>
  <si>
    <t>Ashley, Mylee</t>
  </si>
  <si>
    <t>Stout, Amaya</t>
  </si>
  <si>
    <t>Gibson, Madelynn</t>
  </si>
  <si>
    <t>Bowman, Alyvia</t>
  </si>
  <si>
    <t>Norman, Ellen</t>
  </si>
  <si>
    <t>Gilmore, Casey</t>
  </si>
  <si>
    <t>Hanson, Camryn</t>
  </si>
  <si>
    <t>Conrad, Jayce</t>
  </si>
  <si>
    <t>Mooney, Brycen</t>
  </si>
  <si>
    <t>Bradshaw, Adrianna</t>
  </si>
  <si>
    <t>Frazier, Kasen</t>
  </si>
  <si>
    <t>Watched Webinar</t>
  </si>
  <si>
    <t>Date of 1st Purchase</t>
  </si>
  <si>
    <t>Total 1yr Purch, net</t>
  </si>
  <si>
    <t>Sign-up Date</t>
  </si>
  <si>
    <t>Purch &lt;30d post-web</t>
  </si>
  <si>
    <t>Purch &lt;30d post-email</t>
  </si>
  <si>
    <t>Purch &lt;15d post-email</t>
  </si>
  <si>
    <t>Sent e-book email</t>
  </si>
  <si>
    <t>Sent 20% email</t>
  </si>
  <si>
    <t>Lead Source</t>
  </si>
  <si>
    <t>Net Promoter Score</t>
  </si>
  <si>
    <t>Score</t>
  </si>
  <si>
    <t>NPS</t>
  </si>
  <si>
    <t>Avg 1yr purch</t>
  </si>
  <si>
    <t>Customer Lifetime Value</t>
  </si>
  <si>
    <t>Gross profit</t>
  </si>
  <si>
    <t>Customer ret</t>
  </si>
  <si>
    <t>Discount rate</t>
  </si>
  <si>
    <t>CLV</t>
  </si>
  <si>
    <t>How did you first hear about this product?</t>
  </si>
  <si>
    <t>Article</t>
  </si>
  <si>
    <t>Conference</t>
  </si>
  <si>
    <t>Web search</t>
  </si>
  <si>
    <t>Online Ad</t>
  </si>
  <si>
    <t>Other</t>
  </si>
  <si>
    <t>How likely are you to buy another product from us?</t>
  </si>
  <si>
    <t>Very likely</t>
  </si>
  <si>
    <t>Not sure</t>
  </si>
  <si>
    <t>Likely</t>
  </si>
  <si>
    <t>Not likely</t>
  </si>
  <si>
    <t>Never again</t>
  </si>
  <si>
    <t>If you are not likely to buy another product, what's the main reason?</t>
  </si>
  <si>
    <t>Too expensive</t>
  </si>
  <si>
    <t>Didn't meet expectations</t>
  </si>
  <si>
    <t>Don’t need any more</t>
  </si>
  <si>
    <t>Low quality</t>
  </si>
  <si>
    <t>First touch point</t>
  </si>
  <si>
    <t>Source</t>
  </si>
  <si>
    <t>Likelihood</t>
  </si>
  <si>
    <t># Touch Pts</t>
  </si>
  <si>
    <t>Repeat</t>
  </si>
  <si>
    <t>Prospects</t>
  </si>
  <si>
    <t>Total investment</t>
  </si>
  <si>
    <t># Customers</t>
  </si>
  <si>
    <t>% Lead Conversion</t>
  </si>
  <si>
    <t>% Customer Conversion</t>
  </si>
  <si>
    <t>Avg 1yr Purch, net</t>
  </si>
  <si>
    <t>Retention</t>
  </si>
  <si>
    <t>Cust Acq $</t>
  </si>
  <si>
    <t>CLV, net</t>
  </si>
  <si>
    <t>Days to purch</t>
  </si>
  <si>
    <t>Customers Acquired per $1,000 Spend</t>
  </si>
  <si>
    <t>Cost per Prospect</t>
  </si>
  <si>
    <t>Cost per Prosp</t>
  </si>
  <si>
    <t># Prospects</t>
  </si>
  <si>
    <t>Customer CVR %</t>
  </si>
  <si>
    <t>Mthly Ad $</t>
  </si>
  <si>
    <t>Avg 1yr Purch</t>
  </si>
  <si>
    <t>New Cust</t>
  </si>
  <si>
    <t>Proposal</t>
  </si>
  <si>
    <t>Age</t>
  </si>
  <si>
    <t>Age Group</t>
  </si>
  <si>
    <t>18-25</t>
  </si>
  <si>
    <t>26-35</t>
  </si>
  <si>
    <t>36-45</t>
  </si>
  <si>
    <t>46-55</t>
  </si>
  <si>
    <t>55+</t>
  </si>
  <si>
    <t>Avg Age</t>
  </si>
  <si>
    <t>Facebook Organic</t>
  </si>
  <si>
    <t>LinkedIn Ad</t>
  </si>
  <si>
    <t>LinkedIn Organic</t>
  </si>
  <si>
    <t>Twitter Organic</t>
  </si>
  <si>
    <t>Facebook Ad</t>
  </si>
  <si>
    <t>LinkedIn</t>
  </si>
  <si>
    <t>Social Mgr Salary</t>
  </si>
  <si>
    <t>Social Media Mgr Salary</t>
  </si>
  <si>
    <t>Social Media Tools</t>
  </si>
  <si>
    <t>New Customers</t>
  </si>
  <si>
    <t>Organic Customer Acquisition</t>
  </si>
  <si>
    <t>Followers</t>
  </si>
  <si>
    <t>New Prospects</t>
  </si>
  <si>
    <t>Existing Cust CVR</t>
  </si>
  <si>
    <t>CVR Increase</t>
  </si>
  <si>
    <t>Scenario Cust CVR</t>
  </si>
  <si>
    <t>Current Salary Allocation</t>
  </si>
  <si>
    <t>Total Revenue</t>
  </si>
  <si>
    <t>Cumulative Expenses</t>
  </si>
  <si>
    <t>Cumulative</t>
  </si>
  <si>
    <t>Churn</t>
  </si>
  <si>
    <t>Revenue</t>
  </si>
  <si>
    <t>Total Customers</t>
  </si>
  <si>
    <t>Net Income</t>
  </si>
  <si>
    <t>ROI</t>
  </si>
  <si>
    <t>Potential new ad sources</t>
  </si>
  <si>
    <t>Social Media Revenue &amp; Customers</t>
  </si>
  <si>
    <t>Social Media Expenses</t>
  </si>
  <si>
    <t>Total Social Media Exp</t>
  </si>
  <si>
    <t>Assumptions</t>
  </si>
  <si>
    <t>Scenario:</t>
  </si>
  <si>
    <t>Current Followers</t>
  </si>
  <si>
    <t>Growth w/o SM Mgr</t>
  </si>
  <si>
    <t>Monthly Growth</t>
  </si>
  <si>
    <t>Scenario Growth</t>
  </si>
  <si>
    <t xml:space="preserve"> New Fllwr CVR %</t>
  </si>
  <si>
    <t>Paid Customer Acquisition</t>
  </si>
  <si>
    <t>Returns Summary</t>
  </si>
  <si>
    <t>Breakeven Month</t>
  </si>
  <si>
    <t>Net Profit</t>
  </si>
  <si>
    <t>Cumulative Net Profit</t>
  </si>
  <si>
    <t>Total New Customers</t>
  </si>
  <si>
    <t>Social Media Followers</t>
  </si>
  <si>
    <t>Twitter</t>
  </si>
  <si>
    <t>Total Incr</t>
  </si>
  <si>
    <t>Cumulative Revenue</t>
  </si>
  <si>
    <t>Dashboard</t>
  </si>
  <si>
    <t>Facebook Follower Growth</t>
  </si>
  <si>
    <t>LinkedIn Follower Growth</t>
  </si>
  <si>
    <t>AdWords Conversion Increase</t>
  </si>
  <si>
    <t>Facebook Conversion Increase</t>
  </si>
  <si>
    <t>PPC Analysis</t>
  </si>
  <si>
    <t>If so, which?</t>
  </si>
  <si>
    <t>If so, which campaigns?</t>
  </si>
  <si>
    <t>Are any particular campaigns skewing our data?</t>
  </si>
  <si>
    <t>Which PPC source has the highest click-through-rate?</t>
  </si>
  <si>
    <t>Which PPC source has the lowest cost-per-click?</t>
  </si>
  <si>
    <t>Which PPC source has the highest conversions of clicks to leads?</t>
  </si>
  <si>
    <t>Based on this information, is one PPC ad type better than another?</t>
  </si>
  <si>
    <t>Which platform has the cheapest lead acquisition cost?</t>
  </si>
  <si>
    <t>Why might Facebook have a higher conversion rate?</t>
  </si>
  <si>
    <t>AdWords is mainly attracting which age demographic?</t>
  </si>
  <si>
    <t>Facebook is mainly attracting which age demographic?</t>
  </si>
  <si>
    <t>CLV net</t>
  </si>
  <si>
    <t>With the information we have right now, what would your PPC recommendation be?</t>
  </si>
  <si>
    <t>VLOOKUP Table</t>
  </si>
  <si>
    <t>Lead-to-Customer Data</t>
  </si>
  <si>
    <t>PPC Campaigns 4/1/17 - 6/30/17</t>
  </si>
  <si>
    <t>Post-Course Completion Survey Data</t>
  </si>
  <si>
    <t>Why do you think Facebook is doing a better job at attracting Mills?</t>
  </si>
  <si>
    <t>What could be one reason we should keep AdWords going?</t>
  </si>
  <si>
    <t>Which channel is best with word of mouth?</t>
  </si>
  <si>
    <t>Which channel is best with web searches?</t>
  </si>
  <si>
    <t>What is another reason to keep AdWords?</t>
  </si>
  <si>
    <t>Why would Facebook garner more loyalty?</t>
  </si>
  <si>
    <t>Does all the information we've gathered give you any ideas about social media's role at the company?</t>
  </si>
  <si>
    <t>Existing Retention</t>
  </si>
  <si>
    <t>Retention Increase</t>
  </si>
  <si>
    <t>- Your boss makes you the full-time social media manager</t>
  </si>
  <si>
    <t>- You become very active on Facebook, LinkedIn, and Twitter and start engaging your followers</t>
  </si>
  <si>
    <t>- You start running LinkedIn ads and Spotify ads to increase followers and customers</t>
  </si>
  <si>
    <t>- Ad data will be analyzed monthly to determine the best ads that lead to the highest outcomes</t>
  </si>
  <si>
    <t>Current Data</t>
  </si>
  <si>
    <t>Click-through-rate</t>
  </si>
  <si>
    <t>Cost-per-click</t>
  </si>
  <si>
    <t>Cost per lead</t>
  </si>
  <si>
    <t>Lead-to customer conversion</t>
  </si>
  <si>
    <t>Click-to-lead conversion</t>
  </si>
  <si>
    <t>Customer acquisition cost</t>
  </si>
  <si>
    <t>Customer lifetime value</t>
  </si>
  <si>
    <t>Net promoter score</t>
  </si>
  <si>
    <t>Likelihood of buying again</t>
  </si>
  <si>
    <t>Difference</t>
  </si>
  <si>
    <t>Winner</t>
  </si>
  <si>
    <t>Channel Type</t>
  </si>
  <si>
    <t>Mthly Ad Spend</t>
  </si>
  <si>
    <t>Cust CVR Increase</t>
  </si>
  <si>
    <t>Key Assumptions</t>
  </si>
  <si>
    <t>Mthly Follower Growth</t>
  </si>
  <si>
    <t>The Results</t>
  </si>
  <si>
    <t>Status quo</t>
  </si>
  <si>
    <t>Social media manager</t>
  </si>
  <si>
    <t>Cum. Revenue</t>
  </si>
  <si>
    <t>Cum. Net Income</t>
  </si>
  <si>
    <t>Increase/(Decrease)</t>
  </si>
  <si>
    <t>% Change</t>
  </si>
  <si>
    <t>ROI: Facebook conversion increase vs. AdWords conversion increase</t>
  </si>
  <si>
    <t>PPC and Social Media Campaign Overview</t>
  </si>
  <si>
    <t>Cash Flow and User Projections</t>
  </si>
  <si>
    <t>AdWords Campaign ID</t>
  </si>
  <si>
    <t>AdWords Impressions</t>
  </si>
  <si>
    <t>AdWords Clicks</t>
  </si>
  <si>
    <t>AdWords Cost</t>
  </si>
  <si>
    <t>AdWords Conversions</t>
  </si>
  <si>
    <t>Ramsey, Michael</t>
  </si>
  <si>
    <t>Campos, Gavin</t>
  </si>
  <si>
    <t>O'Donnell, Cristina</t>
  </si>
  <si>
    <t>McCann, Mario</t>
  </si>
  <si>
    <t>McFarland, Ty</t>
  </si>
  <si>
    <t>McKinney, Urijah</t>
  </si>
  <si>
    <t>McClure, Jordyn</t>
  </si>
  <si>
    <t>House, Trish</t>
  </si>
  <si>
    <t>McBride, Joshua</t>
  </si>
  <si>
    <t>Pugh, Landon</t>
  </si>
  <si>
    <t>Cardenas, Kate</t>
  </si>
  <si>
    <t>Long, Joslyn</t>
  </si>
  <si>
    <t>Macias, McKenna</t>
  </si>
  <si>
    <t>McCarthy, Kendrick</t>
  </si>
  <si>
    <t>McCoy, Katelyn</t>
  </si>
  <si>
    <t>McMahon, Reagan</t>
  </si>
  <si>
    <t>McNeil, Karissa</t>
  </si>
  <si>
    <t>Munoz, Kayden</t>
  </si>
  <si>
    <t>Carry, Jeffrey</t>
  </si>
  <si>
    <t>Manning, Jake</t>
  </si>
  <si>
    <t>McCall, Giana</t>
  </si>
  <si>
    <t>McCarthy, Maia</t>
  </si>
  <si>
    <t>McClain, Bethany</t>
  </si>
  <si>
    <t>McCormick, Wilson</t>
  </si>
  <si>
    <t>McCullough, Brian</t>
  </si>
  <si>
    <t>McDonald, Bruce</t>
  </si>
  <si>
    <t>McGee, Marin</t>
  </si>
  <si>
    <t>Macintosh, Alisa</t>
  </si>
  <si>
    <t>McKay, Carson</t>
  </si>
  <si>
    <t>McKee, Charlie</t>
  </si>
  <si>
    <t>McLaughlin, Aidan</t>
  </si>
  <si>
    <t>McPherson, Luciano</t>
  </si>
  <si>
    <t>O'Connell, Ryleigh</t>
  </si>
  <si>
    <t>O'Neal, Ezra</t>
  </si>
  <si>
    <t>Stuart, McKinley</t>
  </si>
  <si>
    <t>How likely is it that you would recommend this company to a friend or colleague?</t>
  </si>
  <si>
    <t>Friend, family, or colleague</t>
  </si>
  <si>
    <t>Which platform is doing g a better job of attracting Millennials?</t>
  </si>
  <si>
    <t>Likelihood on buying again</t>
  </si>
  <si>
    <t>- You start to tailor promotions to increase the customer retention</t>
  </si>
  <si>
    <t>ROI: Facebook follower growth vs. LinkedIn follower growth</t>
  </si>
  <si>
    <t>Customer Analysis</t>
  </si>
  <si>
    <t>Course Survey Analysis</t>
  </si>
  <si>
    <t>Ad Channel Data</t>
  </si>
  <si>
    <t>AdWords Click Through Rate</t>
  </si>
  <si>
    <t>AdWords Conversion Rate</t>
  </si>
  <si>
    <t>Instagram</t>
  </si>
  <si>
    <t xml:space="preserve">days to purchase </t>
  </si>
  <si>
    <t>touch points</t>
  </si>
  <si>
    <t>age groups</t>
  </si>
  <si>
    <t>Row Labels</t>
  </si>
  <si>
    <t>Grand Total</t>
  </si>
  <si>
    <t>NPS%</t>
  </si>
  <si>
    <t>Column Labels</t>
  </si>
  <si>
    <t>Total NPS</t>
  </si>
  <si>
    <t>Total NPS%</t>
  </si>
  <si>
    <t>Total How did you first hear%</t>
  </si>
  <si>
    <t>How did you first hear%</t>
  </si>
  <si>
    <t xml:space="preserve">Total How did you first hear </t>
  </si>
  <si>
    <t xml:space="preserve">How did you first hear </t>
  </si>
  <si>
    <t xml:space="preserve">How likely </t>
  </si>
  <si>
    <t>How likely%</t>
  </si>
  <si>
    <t xml:space="preserve">Total How likely </t>
  </si>
  <si>
    <t>Total How likely%</t>
  </si>
  <si>
    <t>Millennial</t>
  </si>
  <si>
    <t>Gen X</t>
  </si>
  <si>
    <t>Adwords</t>
  </si>
  <si>
    <t>June 2017 for Adwords</t>
  </si>
  <si>
    <t>June and May 2017 for Facebook</t>
  </si>
  <si>
    <t xml:space="preserve">Article and Conference </t>
  </si>
  <si>
    <t>NPS %age</t>
  </si>
  <si>
    <t>Total NPS %age</t>
  </si>
  <si>
    <t>Hear First</t>
  </si>
  <si>
    <t>Hear First %age</t>
  </si>
  <si>
    <t>Total Hear First</t>
  </si>
  <si>
    <t>Total Hear First %age</t>
  </si>
  <si>
    <t>Due to the higher CTR</t>
  </si>
  <si>
    <t>Yes, Facebook as even though it has a higher CPC but it bears the results in form of a highr CVR%</t>
  </si>
  <si>
    <t>It's wise not to keep all eggs in one basket</t>
  </si>
  <si>
    <t>Relatively Millenials Facebook usage is higher</t>
  </si>
  <si>
    <t>Frequently visited, Pulsing ads</t>
  </si>
  <si>
    <t>Huge!! Helps better track MROI due to measurable metrics</t>
  </si>
  <si>
    <t>Cost/Lead</t>
  </si>
  <si>
    <t>AD SPEND $</t>
  </si>
  <si>
    <t>Marketing Analytics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</si>
</sst>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3" formatCode="_(* #,##0.00_);_(* \(#,##0.00\);_(* &quot;-&quot;??_);_(@_)"/>
    <numFmt numFmtId="164" formatCode="&quot;$&quot;#,##0"/>
    <numFmt numFmtId="165" formatCode="0\ &quot;days&quot;"/>
    <numFmt numFmtId="166" formatCode="0.0"/>
    <numFmt numFmtId="167" formatCode="0.0%"/>
    <numFmt numFmtId="168" formatCode="0.0000"/>
    <numFmt numFmtId="169" formatCode="&quot;$&quot;#,##0.00"/>
    <numFmt numFmtId="170" formatCode="&quot;$&quot;#,##0&quot;/mth&quot;"/>
    <numFmt numFmtId="171" formatCode="&quot;Social media manager&quot;;;&quot;No social media mager&quot;"/>
    <numFmt numFmtId="172" formatCode="0.00000000000000%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4"/>
      <color rgb="FF0284BA"/>
      <name val="Calibri"/>
      <family val="2"/>
      <scheme val="minor"/>
    </font>
    <font>
      <b/>
      <i/>
      <sz val="11"/>
      <color rgb="FF0284BA"/>
      <name val="Calibri"/>
      <family val="2"/>
      <scheme val="minor"/>
    </font>
    <font>
      <b/>
      <i/>
      <sz val="12"/>
      <color rgb="FFFC7B17"/>
      <name val="Calibri"/>
      <family val="2"/>
      <scheme val="minor"/>
    </font>
    <font>
      <b/>
      <sz val="12"/>
      <color rgb="FFFC7B17"/>
      <name val="Calibri"/>
      <family val="2"/>
      <scheme val="minor"/>
    </font>
    <font>
      <i/>
      <sz val="11"/>
      <color theme="4" tint="-0.499984740745262"/>
      <name val="Calibri"/>
      <family val="2"/>
      <scheme val="minor"/>
    </font>
    <font>
      <b/>
      <sz val="11"/>
      <color rgb="FF0284BA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FC7B17"/>
      <name val="Calibri"/>
      <family val="2"/>
      <scheme val="minor"/>
    </font>
    <font>
      <b/>
      <i/>
      <sz val="12"/>
      <color rgb="FF0284BA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2"/>
      <color rgb="FF0284BA"/>
      <name val="Calibri"/>
      <family val="2"/>
      <scheme val="minor"/>
    </font>
    <font>
      <b/>
      <i/>
      <sz val="11"/>
      <color rgb="FFFC7B17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284BA"/>
      <name val="Calibri"/>
      <family val="2"/>
      <scheme val="minor"/>
    </font>
    <font>
      <b/>
      <i/>
      <sz val="14"/>
      <color rgb="FFFC7B17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rgb="FF54BFEC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284B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54BFEC"/>
        <bgColor indexed="64"/>
      </patternFill>
    </fill>
    <fill>
      <patternFill patternType="solid">
        <fgColor theme="3" tint="0.79998168889431442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0000FF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49">
    <xf numFmtId="0" fontId="0" fillId="0" borderId="0" xfId="0"/>
    <xf numFmtId="0" fontId="0" fillId="0" borderId="0" xfId="0"/>
    <xf numFmtId="0" fontId="0" fillId="0" borderId="0" xfId="0" applyFont="1"/>
    <xf numFmtId="0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0" xfId="0" pivotButton="1"/>
    <xf numFmtId="164" fontId="0" fillId="0" borderId="0" xfId="0" applyNumberFormat="1"/>
    <xf numFmtId="0" fontId="5" fillId="0" borderId="0" xfId="0" applyFont="1" applyAlignment="1">
      <alignment horizontal="left"/>
    </xf>
    <xf numFmtId="0" fontId="0" fillId="0" borderId="2" xfId="0" applyBorder="1"/>
    <xf numFmtId="14" fontId="0" fillId="0" borderId="2" xfId="0" applyNumberForma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9" fontId="0" fillId="0" borderId="0" xfId="1" applyFont="1"/>
    <xf numFmtId="0" fontId="9" fillId="0" borderId="0" xfId="0" applyFont="1"/>
    <xf numFmtId="0" fontId="2" fillId="3" borderId="2" xfId="0" applyFont="1" applyFill="1" applyBorder="1" applyAlignment="1">
      <alignment horizontal="center" wrapText="1"/>
    </xf>
    <xf numFmtId="0" fontId="10" fillId="0" borderId="0" xfId="0" applyFont="1"/>
    <xf numFmtId="0" fontId="11" fillId="0" borderId="0" xfId="0" applyFont="1" applyFill="1"/>
    <xf numFmtId="0" fontId="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1" fontId="0" fillId="0" borderId="2" xfId="1" applyNumberFormat="1" applyFont="1" applyBorder="1" applyAlignment="1">
      <alignment horizontal="center"/>
    </xf>
    <xf numFmtId="0" fontId="3" fillId="2" borderId="2" xfId="0" applyFont="1" applyFill="1" applyBorder="1" applyAlignment="1">
      <alignment horizontal="left" indent="1"/>
    </xf>
    <xf numFmtId="0" fontId="13" fillId="0" borderId="0" xfId="0" applyFont="1" applyAlignment="1">
      <alignment horizontal="left"/>
    </xf>
    <xf numFmtId="0" fontId="13" fillId="0" borderId="0" xfId="0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/>
    <xf numFmtId="0" fontId="14" fillId="0" borderId="0" xfId="0" applyFont="1"/>
    <xf numFmtId="0" fontId="0" fillId="0" borderId="0" xfId="0"/>
    <xf numFmtId="3" fontId="0" fillId="0" borderId="0" xfId="0" applyNumberFormat="1"/>
    <xf numFmtId="14" fontId="0" fillId="0" borderId="2" xfId="0" applyNumberFormat="1" applyBorder="1"/>
    <xf numFmtId="3" fontId="0" fillId="0" borderId="2" xfId="0" applyNumberFormat="1" applyBorder="1"/>
    <xf numFmtId="169" fontId="0" fillId="0" borderId="2" xfId="0" applyNumberFormat="1" applyBorder="1"/>
    <xf numFmtId="10" fontId="0" fillId="0" borderId="2" xfId="1" applyNumberFormat="1" applyFont="1" applyBorder="1" applyAlignment="1">
      <alignment horizontal="center"/>
    </xf>
    <xf numFmtId="10" fontId="3" fillId="2" borderId="2" xfId="1" applyNumberFormat="1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169" fontId="0" fillId="0" borderId="2" xfId="1" applyNumberFormat="1" applyFont="1" applyBorder="1" applyAlignment="1">
      <alignment horizontal="center"/>
    </xf>
    <xf numFmtId="169" fontId="3" fillId="2" borderId="2" xfId="1" applyNumberFormat="1" applyFont="1" applyFill="1" applyBorder="1" applyAlignment="1">
      <alignment horizontal="center"/>
    </xf>
    <xf numFmtId="169" fontId="0" fillId="0" borderId="1" xfId="0" applyNumberFormat="1" applyBorder="1"/>
    <xf numFmtId="10" fontId="0" fillId="0" borderId="1" xfId="0" applyNumberFormat="1" applyBorder="1"/>
    <xf numFmtId="0" fontId="2" fillId="3" borderId="2" xfId="0" applyFont="1" applyFill="1" applyBorder="1" applyAlignment="1">
      <alignment horizontal="left" wrapText="1"/>
    </xf>
    <xf numFmtId="9" fontId="0" fillId="0" borderId="0" xfId="0" applyNumberFormat="1"/>
    <xf numFmtId="9" fontId="0" fillId="0" borderId="1" xfId="0" applyNumberFormat="1" applyBorder="1"/>
    <xf numFmtId="0" fontId="15" fillId="0" borderId="0" xfId="0" applyFont="1" applyBorder="1"/>
    <xf numFmtId="10" fontId="15" fillId="0" borderId="0" xfId="0" applyNumberFormat="1" applyFont="1" applyBorder="1"/>
    <xf numFmtId="3" fontId="15" fillId="0" borderId="3" xfId="0" applyNumberFormat="1" applyFont="1" applyBorder="1"/>
    <xf numFmtId="0" fontId="15" fillId="0" borderId="3" xfId="0" applyFont="1" applyBorder="1"/>
    <xf numFmtId="169" fontId="15" fillId="0" borderId="3" xfId="0" applyNumberFormat="1" applyFont="1" applyBorder="1"/>
    <xf numFmtId="10" fontId="15" fillId="0" borderId="3" xfId="1" applyNumberFormat="1" applyFont="1" applyBorder="1" applyAlignment="1">
      <alignment horizontal="center"/>
    </xf>
    <xf numFmtId="1" fontId="15" fillId="0" borderId="3" xfId="1" applyNumberFormat="1" applyFont="1" applyBorder="1" applyAlignment="1">
      <alignment horizontal="center"/>
    </xf>
    <xf numFmtId="168" fontId="15" fillId="0" borderId="3" xfId="0" applyNumberFormat="1" applyFont="1" applyBorder="1"/>
    <xf numFmtId="10" fontId="15" fillId="0" borderId="3" xfId="0" applyNumberFormat="1" applyFont="1" applyFill="1" applyBorder="1"/>
    <xf numFmtId="10" fontId="15" fillId="0" borderId="3" xfId="0" applyNumberFormat="1" applyFont="1" applyBorder="1"/>
    <xf numFmtId="3" fontId="0" fillId="0" borderId="1" xfId="0" applyNumberFormat="1" applyBorder="1"/>
    <xf numFmtId="1" fontId="0" fillId="0" borderId="1" xfId="0" applyNumberFormat="1" applyBorder="1"/>
    <xf numFmtId="0" fontId="0" fillId="0" borderId="2" xfId="0" applyBorder="1" applyAlignment="1">
      <alignment horizontal="right"/>
    </xf>
    <xf numFmtId="14" fontId="0" fillId="0" borderId="2" xfId="0" applyNumberFormat="1" applyBorder="1" applyAlignment="1">
      <alignment horizontal="right"/>
    </xf>
    <xf numFmtId="43" fontId="0" fillId="0" borderId="0" xfId="2" applyFont="1"/>
    <xf numFmtId="10" fontId="0" fillId="0" borderId="0" xfId="0" applyNumberFormat="1"/>
    <xf numFmtId="0" fontId="0" fillId="0" borderId="0" xfId="0" applyBorder="1" applyAlignment="1">
      <alignment horizontal="center"/>
    </xf>
    <xf numFmtId="9" fontId="0" fillId="0" borderId="0" xfId="1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2" xfId="0" applyBorder="1" applyAlignment="1">
      <alignment horizontal="left"/>
    </xf>
    <xf numFmtId="167" fontId="0" fillId="0" borderId="2" xfId="0" applyNumberFormat="1" applyBorder="1" applyAlignment="1">
      <alignment horizontal="center"/>
    </xf>
    <xf numFmtId="165" fontId="0" fillId="0" borderId="2" xfId="0" applyNumberFormat="1" applyBorder="1"/>
    <xf numFmtId="167" fontId="0" fillId="0" borderId="2" xfId="1" applyNumberFormat="1" applyFont="1" applyBorder="1"/>
    <xf numFmtId="9" fontId="6" fillId="0" borderId="1" xfId="0" applyNumberFormat="1" applyFont="1" applyBorder="1"/>
    <xf numFmtId="169" fontId="0" fillId="0" borderId="0" xfId="0" applyNumberFormat="1"/>
    <xf numFmtId="0" fontId="0" fillId="0" borderId="2" xfId="0" quotePrefix="1" applyBorder="1" applyAlignment="1">
      <alignment horizontal="center"/>
    </xf>
    <xf numFmtId="166" fontId="0" fillId="0" borderId="2" xfId="1" applyNumberFormat="1" applyFont="1" applyBorder="1"/>
    <xf numFmtId="3" fontId="0" fillId="0" borderId="2" xfId="0" applyNumberFormat="1" applyBorder="1" applyAlignment="1">
      <alignment horizontal="center"/>
    </xf>
    <xf numFmtId="1" fontId="0" fillId="0" borderId="2" xfId="1" applyNumberFormat="1" applyFont="1" applyBorder="1"/>
    <xf numFmtId="1" fontId="0" fillId="0" borderId="2" xfId="0" quotePrefix="1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9" fontId="0" fillId="0" borderId="2" xfId="0" applyNumberFormat="1" applyBorder="1" applyAlignment="1">
      <alignment horizontal="center"/>
    </xf>
    <xf numFmtId="167" fontId="0" fillId="0" borderId="2" xfId="1" quotePrefix="1" applyNumberFormat="1" applyFont="1" applyBorder="1" applyAlignment="1">
      <alignment horizontal="center"/>
    </xf>
    <xf numFmtId="164" fontId="0" fillId="0" borderId="2" xfId="0" quotePrefix="1" applyNumberFormat="1" applyBorder="1" applyAlignment="1">
      <alignment horizontal="center"/>
    </xf>
    <xf numFmtId="5" fontId="0" fillId="0" borderId="0" xfId="0" applyNumberFormat="1"/>
    <xf numFmtId="5" fontId="0" fillId="0" borderId="1" xfId="0" applyNumberFormat="1" applyBorder="1"/>
    <xf numFmtId="0" fontId="3" fillId="0" borderId="0" xfId="0" applyFont="1" applyFill="1" applyBorder="1"/>
    <xf numFmtId="164" fontId="3" fillId="0" borderId="0" xfId="0" applyNumberFormat="1" applyFont="1"/>
    <xf numFmtId="5" fontId="3" fillId="0" borderId="0" xfId="0" applyNumberFormat="1" applyFont="1"/>
    <xf numFmtId="8" fontId="0" fillId="0" borderId="0" xfId="0" applyNumberFormat="1"/>
    <xf numFmtId="0" fontId="4" fillId="0" borderId="0" xfId="0" applyFont="1" applyBorder="1"/>
    <xf numFmtId="164" fontId="6" fillId="0" borderId="0" xfId="0" applyNumberFormat="1" applyFont="1" applyFill="1" applyBorder="1"/>
    <xf numFmtId="167" fontId="0" fillId="0" borderId="0" xfId="1" applyNumberFormat="1" applyFont="1"/>
    <xf numFmtId="1" fontId="0" fillId="0" borderId="0" xfId="0" applyNumberFormat="1"/>
    <xf numFmtId="0" fontId="8" fillId="0" borderId="0" xfId="0" applyFont="1" applyFill="1" applyBorder="1" applyAlignment="1">
      <alignment horizontal="center"/>
    </xf>
    <xf numFmtId="0" fontId="0" fillId="0" borderId="0" xfId="0" applyFill="1"/>
    <xf numFmtId="5" fontId="0" fillId="0" borderId="0" xfId="0" applyNumberFormat="1" applyFill="1" applyBorder="1"/>
    <xf numFmtId="9" fontId="0" fillId="0" borderId="0" xfId="0" applyNumberFormat="1" applyFill="1" applyBorder="1"/>
    <xf numFmtId="9" fontId="15" fillId="0" borderId="0" xfId="0" applyNumberFormat="1" applyFont="1" applyFill="1" applyBorder="1"/>
    <xf numFmtId="5" fontId="3" fillId="0" borderId="0" xfId="0" applyNumberFormat="1" applyFont="1" applyFill="1" applyBorder="1"/>
    <xf numFmtId="0" fontId="0" fillId="2" borderId="2" xfId="0" applyFill="1" applyBorder="1"/>
    <xf numFmtId="0" fontId="0" fillId="0" borderId="0" xfId="0" applyAlignment="1">
      <alignment horizontal="left" indent="1"/>
    </xf>
    <xf numFmtId="0" fontId="6" fillId="0" borderId="0" xfId="0" applyFont="1"/>
    <xf numFmtId="0" fontId="15" fillId="0" borderId="0" xfId="0" applyFont="1"/>
    <xf numFmtId="0" fontId="6" fillId="0" borderId="1" xfId="0" applyFont="1" applyBorder="1"/>
    <xf numFmtId="0" fontId="6" fillId="0" borderId="0" xfId="0" applyFont="1" applyBorder="1"/>
    <xf numFmtId="164" fontId="6" fillId="2" borderId="2" xfId="0" quotePrefix="1" applyNumberFormat="1" applyFont="1" applyFill="1" applyBorder="1" applyAlignment="1">
      <alignment horizontal="center"/>
    </xf>
    <xf numFmtId="0" fontId="6" fillId="2" borderId="2" xfId="0" quotePrefix="1" applyFont="1" applyFill="1" applyBorder="1" applyAlignment="1">
      <alignment horizontal="center"/>
    </xf>
    <xf numFmtId="3" fontId="6" fillId="2" borderId="2" xfId="0" applyNumberFormat="1" applyFont="1" applyFill="1" applyBorder="1" applyAlignment="1">
      <alignment horizontal="center"/>
    </xf>
    <xf numFmtId="164" fontId="6" fillId="2" borderId="2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left" indent="1"/>
    </xf>
    <xf numFmtId="0" fontId="4" fillId="0" borderId="0" xfId="0" applyFont="1" applyFill="1" applyBorder="1"/>
    <xf numFmtId="0" fontId="3" fillId="0" borderId="0" xfId="0" applyFont="1"/>
    <xf numFmtId="0" fontId="7" fillId="0" borderId="0" xfId="0" applyFont="1"/>
    <xf numFmtId="0" fontId="17" fillId="0" borderId="1" xfId="0" applyFont="1" applyBorder="1"/>
    <xf numFmtId="1" fontId="17" fillId="0" borderId="1" xfId="0" applyNumberFormat="1" applyFont="1" applyBorder="1"/>
    <xf numFmtId="0" fontId="4" fillId="0" borderId="0" xfId="0" applyFont="1" applyAlignment="1">
      <alignment horizontal="left" indent="2"/>
    </xf>
    <xf numFmtId="9" fontId="12" fillId="0" borderId="0" xfId="1" applyFont="1" applyAlignment="1">
      <alignment horizontal="left"/>
    </xf>
    <xf numFmtId="14" fontId="2" fillId="3" borderId="0" xfId="0" applyNumberFormat="1" applyFont="1" applyFill="1" applyBorder="1"/>
    <xf numFmtId="14" fontId="2" fillId="3" borderId="0" xfId="0" applyNumberFormat="1" applyFont="1" applyFill="1"/>
    <xf numFmtId="9" fontId="19" fillId="0" borderId="0" xfId="1" applyFont="1" applyAlignment="1">
      <alignment horizontal="left"/>
    </xf>
    <xf numFmtId="164" fontId="4" fillId="0" borderId="0" xfId="0" applyNumberFormat="1" applyFont="1"/>
    <xf numFmtId="0" fontId="4" fillId="0" borderId="0" xfId="0" applyFont="1"/>
    <xf numFmtId="0" fontId="0" fillId="0" borderId="0" xfId="0" applyAlignment="1">
      <alignment horizontal="left" indent="4"/>
    </xf>
    <xf numFmtId="0" fontId="3" fillId="0" borderId="0" xfId="0" applyFont="1" applyAlignment="1">
      <alignment horizontal="left" indent="2"/>
    </xf>
    <xf numFmtId="5" fontId="4" fillId="0" borderId="0" xfId="0" applyNumberFormat="1" applyFont="1"/>
    <xf numFmtId="0" fontId="6" fillId="0" borderId="2" xfId="0" applyFont="1" applyBorder="1"/>
    <xf numFmtId="0" fontId="6" fillId="0" borderId="2" xfId="0" applyFont="1" applyBorder="1" applyAlignment="1">
      <alignment horizontal="center"/>
    </xf>
    <xf numFmtId="0" fontId="3" fillId="2" borderId="2" xfId="0" applyFont="1" applyFill="1" applyBorder="1"/>
    <xf numFmtId="164" fontId="6" fillId="0" borderId="2" xfId="0" applyNumberFormat="1" applyFont="1" applyBorder="1"/>
    <xf numFmtId="9" fontId="6" fillId="0" borderId="2" xfId="0" applyNumberFormat="1" applyFont="1" applyBorder="1"/>
    <xf numFmtId="170" fontId="6" fillId="0" borderId="2" xfId="0" applyNumberFormat="1" applyFont="1" applyBorder="1"/>
    <xf numFmtId="0" fontId="2" fillId="3" borderId="0" xfId="0" applyFont="1" applyFill="1" applyAlignment="1">
      <alignment horizontal="center" wrapText="1"/>
    </xf>
    <xf numFmtId="10" fontId="0" fillId="0" borderId="2" xfId="1" applyNumberFormat="1" applyFont="1" applyBorder="1"/>
    <xf numFmtId="10" fontId="6" fillId="0" borderId="2" xfId="0" applyNumberFormat="1" applyFont="1" applyBorder="1"/>
    <xf numFmtId="0" fontId="2" fillId="3" borderId="4" xfId="0" applyFont="1" applyFill="1" applyBorder="1" applyAlignment="1">
      <alignment horizontal="center" wrapText="1"/>
    </xf>
    <xf numFmtId="3" fontId="6" fillId="0" borderId="2" xfId="0" applyNumberFormat="1" applyFont="1" applyFill="1" applyBorder="1"/>
    <xf numFmtId="167" fontId="6" fillId="0" borderId="2" xfId="0" applyNumberFormat="1" applyFont="1" applyBorder="1"/>
    <xf numFmtId="3" fontId="6" fillId="0" borderId="2" xfId="0" applyNumberFormat="1" applyFont="1" applyBorder="1"/>
    <xf numFmtId="0" fontId="10" fillId="0" borderId="0" xfId="0" applyFont="1" applyBorder="1"/>
    <xf numFmtId="167" fontId="0" fillId="0" borderId="2" xfId="0" applyNumberFormat="1" applyBorder="1"/>
    <xf numFmtId="9" fontId="0" fillId="0" borderId="2" xfId="1" applyFont="1" applyBorder="1"/>
    <xf numFmtId="0" fontId="2" fillId="3" borderId="4" xfId="0" applyFont="1" applyFill="1" applyBorder="1" applyAlignment="1">
      <alignment horizontal="center"/>
    </xf>
    <xf numFmtId="0" fontId="0" fillId="0" borderId="0" xfId="0" applyFont="1" applyFill="1"/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6" fillId="2" borderId="0" xfId="0" applyNumberFormat="1" applyFont="1" applyFill="1" applyAlignment="1">
      <alignment horizontal="center"/>
    </xf>
    <xf numFmtId="9" fontId="20" fillId="2" borderId="0" xfId="0" applyNumberFormat="1" applyFont="1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Continuous"/>
    </xf>
    <xf numFmtId="0" fontId="8" fillId="3" borderId="0" xfId="0" applyFont="1" applyFill="1"/>
    <xf numFmtId="0" fontId="2" fillId="3" borderId="0" xfId="0" applyFont="1" applyFill="1" applyAlignment="1">
      <alignment horizontal="centerContinuous"/>
    </xf>
    <xf numFmtId="0" fontId="0" fillId="0" borderId="0" xfId="0"/>
    <xf numFmtId="0" fontId="2" fillId="3" borderId="2" xfId="0" applyFont="1" applyFill="1" applyBorder="1" applyAlignment="1">
      <alignment horizontal="center"/>
    </xf>
    <xf numFmtId="171" fontId="0" fillId="2" borderId="2" xfId="0" applyNumberFormat="1" applyFill="1" applyBorder="1"/>
    <xf numFmtId="0" fontId="19" fillId="0" borderId="0" xfId="0" applyFont="1" applyAlignment="1">
      <alignment horizontal="left"/>
    </xf>
    <xf numFmtId="0" fontId="21" fillId="0" borderId="0" xfId="0" applyFont="1" applyAlignment="1">
      <alignment horizontal="left"/>
    </xf>
    <xf numFmtId="0" fontId="6" fillId="0" borderId="6" xfId="0" applyFont="1" applyBorder="1"/>
    <xf numFmtId="0" fontId="6" fillId="0" borderId="7" xfId="0" applyFont="1" applyBorder="1"/>
    <xf numFmtId="0" fontId="6" fillId="0" borderId="5" xfId="0" applyFont="1" applyBorder="1"/>
    <xf numFmtId="0" fontId="22" fillId="0" borderId="0" xfId="0" applyFont="1" applyFill="1" applyBorder="1" applyAlignment="1">
      <alignment horizontal="left"/>
    </xf>
    <xf numFmtId="0" fontId="21" fillId="0" borderId="0" xfId="0" applyFont="1"/>
    <xf numFmtId="0" fontId="23" fillId="0" borderId="0" xfId="0" applyFont="1"/>
    <xf numFmtId="0" fontId="2" fillId="3" borderId="6" xfId="0" applyFont="1" applyFill="1" applyBorder="1" applyAlignment="1">
      <alignment horizontal="center" wrapText="1"/>
    </xf>
    <xf numFmtId="10" fontId="6" fillId="0" borderId="6" xfId="0" applyNumberFormat="1" applyFont="1" applyBorder="1"/>
    <xf numFmtId="0" fontId="2" fillId="3" borderId="7" xfId="0" applyFont="1" applyFill="1" applyBorder="1" applyAlignment="1">
      <alignment horizontal="center" wrapText="1"/>
    </xf>
    <xf numFmtId="1" fontId="0" fillId="0" borderId="7" xfId="0" applyNumberFormat="1" applyBorder="1"/>
    <xf numFmtId="0" fontId="2" fillId="3" borderId="8" xfId="0" applyFont="1" applyFill="1" applyBorder="1" applyAlignment="1">
      <alignment horizontal="center" wrapText="1"/>
    </xf>
    <xf numFmtId="10" fontId="0" fillId="0" borderId="9" xfId="0" applyNumberFormat="1" applyBorder="1"/>
    <xf numFmtId="0" fontId="4" fillId="0" borderId="0" xfId="0" quotePrefix="1" applyFont="1"/>
    <xf numFmtId="0" fontId="0" fillId="0" borderId="6" xfId="0" applyBorder="1"/>
    <xf numFmtId="0" fontId="0" fillId="0" borderId="7" xfId="0" applyBorder="1"/>
    <xf numFmtId="0" fontId="0" fillId="2" borderId="6" xfId="0" applyFill="1" applyBorder="1" applyAlignment="1">
      <alignment horizontal="left" indent="1"/>
    </xf>
    <xf numFmtId="0" fontId="0" fillId="2" borderId="7" xfId="0" applyFill="1" applyBorder="1" applyAlignment="1">
      <alignment horizontal="left" indent="1"/>
    </xf>
    <xf numFmtId="0" fontId="0" fillId="0" borderId="6" xfId="0" applyFill="1" applyBorder="1" applyAlignment="1">
      <alignment horizontal="left" indent="1"/>
    </xf>
    <xf numFmtId="0" fontId="0" fillId="0" borderId="7" xfId="0" applyFill="1" applyBorder="1" applyAlignment="1">
      <alignment horizontal="left" indent="1"/>
    </xf>
    <xf numFmtId="10" fontId="0" fillId="0" borderId="2" xfId="0" applyNumberFormat="1" applyFill="1" applyBorder="1"/>
    <xf numFmtId="169" fontId="0" fillId="0" borderId="2" xfId="0" applyNumberFormat="1" applyFill="1" applyBorder="1"/>
    <xf numFmtId="169" fontId="0" fillId="2" borderId="2" xfId="0" applyNumberFormat="1" applyFill="1" applyBorder="1"/>
    <xf numFmtId="10" fontId="0" fillId="2" borderId="2" xfId="0" applyNumberFormat="1" applyFill="1" applyBorder="1"/>
    <xf numFmtId="0" fontId="14" fillId="0" borderId="2" xfId="0" applyNumberFormat="1" applyFont="1" applyFill="1" applyBorder="1" applyAlignment="1">
      <alignment horizontal="center"/>
    </xf>
    <xf numFmtId="0" fontId="14" fillId="2" borderId="2" xfId="0" applyNumberFormat="1" applyFont="1" applyFill="1" applyBorder="1" applyAlignment="1">
      <alignment horizont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10" fontId="6" fillId="4" borderId="6" xfId="0" applyNumberFormat="1" applyFont="1" applyFill="1" applyBorder="1"/>
    <xf numFmtId="167" fontId="0" fillId="0" borderId="0" xfId="1" applyNumberFormat="1" applyFont="1" applyAlignment="1">
      <alignment horizontal="center" vertical="center"/>
    </xf>
    <xf numFmtId="5" fontId="0" fillId="0" borderId="2" xfId="0" applyNumberFormat="1" applyBorder="1"/>
    <xf numFmtId="37" fontId="0" fillId="0" borderId="2" xfId="0" applyNumberFormat="1" applyBorder="1"/>
    <xf numFmtId="165" fontId="17" fillId="0" borderId="0" xfId="1" applyNumberFormat="1" applyFont="1" applyFill="1" applyBorder="1" applyAlignment="1">
      <alignment horizontal="left"/>
    </xf>
    <xf numFmtId="0" fontId="7" fillId="2" borderId="6" xfId="0" applyFont="1" applyFill="1" applyBorder="1"/>
    <xf numFmtId="0" fontId="7" fillId="2" borderId="7" xfId="0" applyFont="1" applyFill="1" applyBorder="1"/>
    <xf numFmtId="9" fontId="7" fillId="2" borderId="2" xfId="0" applyNumberFormat="1" applyFont="1" applyFill="1" applyBorder="1"/>
    <xf numFmtId="5" fontId="7" fillId="2" borderId="2" xfId="0" applyNumberFormat="1" applyFont="1" applyFill="1" applyBorder="1"/>
    <xf numFmtId="37" fontId="7" fillId="2" borderId="2" xfId="0" applyNumberFormat="1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9" fontId="4" fillId="2" borderId="2" xfId="1" applyFont="1" applyFill="1" applyBorder="1"/>
    <xf numFmtId="0" fontId="14" fillId="0" borderId="3" xfId="0" applyFont="1" applyBorder="1"/>
    <xf numFmtId="0" fontId="24" fillId="0" borderId="3" xfId="0" applyFont="1" applyBorder="1"/>
    <xf numFmtId="0" fontId="0" fillId="0" borderId="3" xfId="0" applyBorder="1"/>
    <xf numFmtId="0" fontId="25" fillId="0" borderId="0" xfId="0" applyFont="1"/>
    <xf numFmtId="10" fontId="15" fillId="0" borderId="0" xfId="1" applyNumberFormat="1" applyFont="1" applyBorder="1"/>
    <xf numFmtId="10" fontId="15" fillId="0" borderId="3" xfId="1" applyNumberFormat="1" applyFont="1" applyBorder="1"/>
    <xf numFmtId="164" fontId="0" fillId="0" borderId="10" xfId="0" applyNumberFormat="1" applyBorder="1"/>
    <xf numFmtId="3" fontId="0" fillId="0" borderId="10" xfId="0" applyNumberFormat="1" applyBorder="1"/>
    <xf numFmtId="10" fontId="7" fillId="0" borderId="10" xfId="1" applyNumberFormat="1" applyFont="1" applyBorder="1"/>
    <xf numFmtId="169" fontId="7" fillId="0" borderId="10" xfId="1" applyNumberFormat="1" applyFont="1" applyBorder="1"/>
    <xf numFmtId="0" fontId="0" fillId="0" borderId="14" xfId="0" applyBorder="1"/>
    <xf numFmtId="164" fontId="0" fillId="0" borderId="15" xfId="0" applyNumberFormat="1" applyBorder="1"/>
    <xf numFmtId="3" fontId="0" fillId="0" borderId="15" xfId="0" applyNumberFormat="1" applyBorder="1"/>
    <xf numFmtId="0" fontId="7" fillId="0" borderId="14" xfId="0" applyFont="1" applyBorder="1" applyAlignment="1">
      <alignment horizontal="left" indent="2"/>
    </xf>
    <xf numFmtId="0" fontId="7" fillId="0" borderId="16" xfId="0" applyFont="1" applyBorder="1" applyAlignment="1">
      <alignment horizontal="left" indent="2"/>
    </xf>
    <xf numFmtId="167" fontId="7" fillId="0" borderId="17" xfId="1" applyNumberFormat="1" applyFont="1" applyBorder="1"/>
    <xf numFmtId="0" fontId="12" fillId="0" borderId="18" xfId="0" applyFont="1" applyBorder="1" applyAlignment="1">
      <alignment horizontal="left"/>
    </xf>
    <xf numFmtId="0" fontId="0" fillId="0" borderId="19" xfId="0" applyFont="1" applyBorder="1"/>
    <xf numFmtId="0" fontId="0" fillId="0" borderId="19" xfId="0" applyBorder="1"/>
    <xf numFmtId="0" fontId="0" fillId="0" borderId="20" xfId="0" applyBorder="1"/>
    <xf numFmtId="0" fontId="12" fillId="0" borderId="21" xfId="0" applyFont="1" applyBorder="1" applyAlignment="1">
      <alignment horizontal="left"/>
    </xf>
    <xf numFmtId="0" fontId="0" fillId="0" borderId="0" xfId="0" applyFont="1" applyBorder="1"/>
    <xf numFmtId="0" fontId="0" fillId="0" borderId="22" xfId="0" applyBorder="1"/>
    <xf numFmtId="0" fontId="0" fillId="0" borderId="21" xfId="0" applyBorder="1"/>
    <xf numFmtId="10" fontId="0" fillId="0" borderId="23" xfId="1" applyNumberFormat="1" applyFont="1" applyBorder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8" fillId="5" borderId="2" xfId="0" applyFont="1" applyFill="1" applyBorder="1" applyAlignment="1">
      <alignment horizontal="center"/>
    </xf>
    <xf numFmtId="0" fontId="4" fillId="0" borderId="18" xfId="0" applyFont="1" applyBorder="1" applyAlignment="1">
      <alignment horizontal="left" indent="2"/>
    </xf>
    <xf numFmtId="0" fontId="6" fillId="0" borderId="27" xfId="0" applyFont="1" applyBorder="1"/>
    <xf numFmtId="0" fontId="4" fillId="0" borderId="24" xfId="0" applyFont="1" applyBorder="1" applyAlignment="1">
      <alignment horizontal="left" indent="2"/>
    </xf>
    <xf numFmtId="0" fontId="6" fillId="0" borderId="28" xfId="0" applyFont="1" applyBorder="1"/>
    <xf numFmtId="0" fontId="4" fillId="0" borderId="0" xfId="0" applyFont="1" applyBorder="1" applyAlignment="1">
      <alignment horizontal="left" indent="2"/>
    </xf>
    <xf numFmtId="164" fontId="6" fillId="0" borderId="0" xfId="0" applyNumberFormat="1" applyFont="1" applyBorder="1"/>
    <xf numFmtId="0" fontId="4" fillId="0" borderId="0" xfId="0" applyFont="1" applyBorder="1" applyAlignment="1">
      <alignment horizontal="left" indent="1"/>
    </xf>
    <xf numFmtId="3" fontId="4" fillId="0" borderId="0" xfId="0" applyNumberFormat="1" applyFont="1" applyBorder="1"/>
    <xf numFmtId="0" fontId="3" fillId="0" borderId="0" xfId="0" applyFont="1" applyBorder="1" applyAlignment="1">
      <alignment horizontal="left" indent="1"/>
    </xf>
    <xf numFmtId="169" fontId="3" fillId="0" borderId="0" xfId="0" applyNumberFormat="1" applyFont="1" applyBorder="1"/>
    <xf numFmtId="0" fontId="2" fillId="5" borderId="0" xfId="0" applyFont="1" applyFill="1" applyBorder="1" applyAlignment="1">
      <alignment horizontal="center"/>
    </xf>
    <xf numFmtId="0" fontId="26" fillId="0" borderId="18" xfId="0" applyFont="1" applyBorder="1" applyAlignment="1">
      <alignment horizontal="left"/>
    </xf>
    <xf numFmtId="0" fontId="0" fillId="0" borderId="18" xfId="0" applyBorder="1"/>
    <xf numFmtId="0" fontId="12" fillId="0" borderId="0" xfId="0" applyFont="1" applyBorder="1" applyAlignment="1">
      <alignment horizontal="left"/>
    </xf>
    <xf numFmtId="169" fontId="0" fillId="0" borderId="0" xfId="0" applyNumberFormat="1" applyBorder="1"/>
    <xf numFmtId="0" fontId="12" fillId="0" borderId="25" xfId="0" applyFont="1" applyBorder="1" applyAlignment="1">
      <alignment horizontal="left"/>
    </xf>
    <xf numFmtId="0" fontId="4" fillId="0" borderId="25" xfId="0" applyFont="1" applyBorder="1" applyAlignment="1">
      <alignment horizontal="left" indent="2"/>
    </xf>
    <xf numFmtId="0" fontId="26" fillId="0" borderId="0" xfId="0" applyFont="1" applyBorder="1" applyAlignment="1">
      <alignment horizontal="left"/>
    </xf>
    <xf numFmtId="0" fontId="0" fillId="0" borderId="21" xfId="0" applyFont="1" applyBorder="1"/>
    <xf numFmtId="0" fontId="18" fillId="0" borderId="0" xfId="0" applyFont="1" applyBorder="1" applyAlignment="1">
      <alignment horizontal="left"/>
    </xf>
    <xf numFmtId="0" fontId="0" fillId="0" borderId="22" xfId="0" applyFont="1" applyBorder="1"/>
    <xf numFmtId="0" fontId="27" fillId="0" borderId="0" xfId="0" applyFont="1" applyBorder="1"/>
    <xf numFmtId="164" fontId="0" fillId="0" borderId="0" xfId="0" applyNumberFormat="1" applyBorder="1"/>
    <xf numFmtId="9" fontId="15" fillId="0" borderId="0" xfId="0" applyNumberFormat="1" applyFont="1" applyBorder="1"/>
    <xf numFmtId="0" fontId="3" fillId="0" borderId="0" xfId="0" quotePrefix="1" applyFont="1" applyBorder="1"/>
    <xf numFmtId="164" fontId="3" fillId="0" borderId="0" xfId="0" applyNumberFormat="1" applyFont="1" applyBorder="1"/>
    <xf numFmtId="0" fontId="7" fillId="0" borderId="0" xfId="0" applyFont="1" applyBorder="1" applyAlignment="1">
      <alignment horizontal="left" indent="2"/>
    </xf>
    <xf numFmtId="0" fontId="8" fillId="5" borderId="0" xfId="0" applyFont="1" applyFill="1" applyBorder="1" applyAlignment="1">
      <alignment horizontal="center"/>
    </xf>
    <xf numFmtId="9" fontId="0" fillId="0" borderId="22" xfId="1" applyFont="1" applyBorder="1" applyAlignment="1">
      <alignment horizontal="center"/>
    </xf>
    <xf numFmtId="0" fontId="4" fillId="0" borderId="19" xfId="0" applyFont="1" applyBorder="1" applyAlignment="1">
      <alignment horizontal="left" indent="2"/>
    </xf>
    <xf numFmtId="0" fontId="6" fillId="0" borderId="30" xfId="0" applyFont="1" applyBorder="1"/>
    <xf numFmtId="0" fontId="16" fillId="0" borderId="18" xfId="0" applyFont="1" applyBorder="1"/>
    <xf numFmtId="0" fontId="10" fillId="0" borderId="19" xfId="0" applyFont="1" applyBorder="1"/>
    <xf numFmtId="0" fontId="4" fillId="2" borderId="19" xfId="0" applyFont="1" applyFill="1" applyBorder="1"/>
    <xf numFmtId="0" fontId="0" fillId="2" borderId="19" xfId="0" applyFill="1" applyBorder="1"/>
    <xf numFmtId="43" fontId="0" fillId="0" borderId="19" xfId="2" applyFont="1" applyBorder="1"/>
    <xf numFmtId="9" fontId="0" fillId="0" borderId="19" xfId="1" applyFont="1" applyBorder="1"/>
    <xf numFmtId="9" fontId="0" fillId="0" borderId="20" xfId="1" applyFont="1" applyBorder="1"/>
    <xf numFmtId="0" fontId="5" fillId="0" borderId="21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9" fontId="0" fillId="0" borderId="0" xfId="1" applyFont="1" applyBorder="1"/>
    <xf numFmtId="0" fontId="0" fillId="0" borderId="31" xfId="0" applyBorder="1"/>
    <xf numFmtId="167" fontId="0" fillId="0" borderId="23" xfId="1" quotePrefix="1" applyNumberFormat="1" applyFont="1" applyBorder="1" applyAlignment="1">
      <alignment horizontal="center"/>
    </xf>
    <xf numFmtId="0" fontId="0" fillId="2" borderId="31" xfId="0" applyFill="1" applyBorder="1"/>
    <xf numFmtId="167" fontId="6" fillId="2" borderId="23" xfId="1" quotePrefix="1" applyNumberFormat="1" applyFont="1" applyFill="1" applyBorder="1" applyAlignment="1">
      <alignment horizontal="center"/>
    </xf>
    <xf numFmtId="0" fontId="0" fillId="2" borderId="32" xfId="0" applyFill="1" applyBorder="1"/>
    <xf numFmtId="3" fontId="6" fillId="2" borderId="29" xfId="0" applyNumberFormat="1" applyFont="1" applyFill="1" applyBorder="1" applyAlignment="1">
      <alignment horizontal="center"/>
    </xf>
    <xf numFmtId="164" fontId="6" fillId="2" borderId="29" xfId="0" applyNumberFormat="1" applyFont="1" applyFill="1" applyBorder="1" applyAlignment="1">
      <alignment horizontal="center"/>
    </xf>
    <xf numFmtId="164" fontId="6" fillId="2" borderId="29" xfId="0" quotePrefix="1" applyNumberFormat="1" applyFont="1" applyFill="1" applyBorder="1" applyAlignment="1">
      <alignment horizontal="center"/>
    </xf>
    <xf numFmtId="167" fontId="6" fillId="2" borderId="28" xfId="1" quotePrefix="1" applyNumberFormat="1" applyFont="1" applyFill="1" applyBorder="1" applyAlignment="1">
      <alignment horizontal="center"/>
    </xf>
    <xf numFmtId="0" fontId="2" fillId="5" borderId="31" xfId="0" applyFont="1" applyFill="1" applyBorder="1" applyAlignment="1">
      <alignment horizontal="left" wrapText="1"/>
    </xf>
    <xf numFmtId="0" fontId="2" fillId="5" borderId="2" xfId="0" applyFont="1" applyFill="1" applyBorder="1" applyAlignment="1">
      <alignment horizontal="left" wrapText="1"/>
    </xf>
    <xf numFmtId="0" fontId="2" fillId="5" borderId="2" xfId="0" applyFont="1" applyFill="1" applyBorder="1" applyAlignment="1">
      <alignment horizontal="center" wrapText="1"/>
    </xf>
    <xf numFmtId="0" fontId="2" fillId="5" borderId="0" xfId="0" applyFont="1" applyFill="1" applyBorder="1" applyAlignment="1">
      <alignment horizontal="center" wrapText="1"/>
    </xf>
    <xf numFmtId="0" fontId="2" fillId="5" borderId="23" xfId="0" applyFont="1" applyFill="1" applyBorder="1" applyAlignment="1">
      <alignment horizontal="center" wrapText="1"/>
    </xf>
    <xf numFmtId="169" fontId="0" fillId="0" borderId="20" xfId="0" applyNumberFormat="1" applyBorder="1"/>
    <xf numFmtId="0" fontId="8" fillId="5" borderId="22" xfId="0" applyFont="1" applyFill="1" applyBorder="1" applyAlignment="1">
      <alignment horizontal="center"/>
    </xf>
    <xf numFmtId="5" fontId="0" fillId="0" borderId="0" xfId="0" applyNumberFormat="1" applyBorder="1"/>
    <xf numFmtId="5" fontId="0" fillId="0" borderId="22" xfId="0" applyNumberFormat="1" applyBorder="1"/>
    <xf numFmtId="9" fontId="0" fillId="0" borderId="33" xfId="0" applyNumberFormat="1" applyBorder="1"/>
    <xf numFmtId="167" fontId="15" fillId="0" borderId="0" xfId="0" applyNumberFormat="1" applyFont="1" applyBorder="1"/>
    <xf numFmtId="9" fontId="15" fillId="0" borderId="22" xfId="0" applyNumberFormat="1" applyFont="1" applyBorder="1"/>
    <xf numFmtId="5" fontId="0" fillId="0" borderId="33" xfId="0" applyNumberFormat="1" applyBorder="1"/>
    <xf numFmtId="5" fontId="3" fillId="0" borderId="0" xfId="0" applyNumberFormat="1" applyFont="1" applyBorder="1"/>
    <xf numFmtId="5" fontId="3" fillId="0" borderId="22" xfId="0" applyNumberFormat="1" applyFont="1" applyBorder="1"/>
    <xf numFmtId="0" fontId="26" fillId="0" borderId="19" xfId="0" applyFont="1" applyBorder="1" applyAlignment="1">
      <alignment horizontal="left"/>
    </xf>
    <xf numFmtId="164" fontId="15" fillId="0" borderId="0" xfId="0" applyNumberFormat="1" applyFont="1" applyBorder="1"/>
    <xf numFmtId="164" fontId="15" fillId="0" borderId="22" xfId="0" applyNumberFormat="1" applyFont="1" applyBorder="1"/>
    <xf numFmtId="169" fontId="0" fillId="0" borderId="33" xfId="0" applyNumberFormat="1" applyBorder="1"/>
    <xf numFmtId="3" fontId="4" fillId="0" borderId="22" xfId="0" applyNumberFormat="1" applyFont="1" applyBorder="1"/>
    <xf numFmtId="10" fontId="0" fillId="0" borderId="33" xfId="0" applyNumberFormat="1" applyBorder="1"/>
    <xf numFmtId="0" fontId="4" fillId="0" borderId="22" xfId="0" applyFont="1" applyBorder="1"/>
    <xf numFmtId="0" fontId="0" fillId="6" borderId="11" xfId="0" applyFill="1" applyBorder="1"/>
    <xf numFmtId="0" fontId="8" fillId="6" borderId="12" xfId="0" applyFont="1" applyFill="1" applyBorder="1" applyAlignment="1">
      <alignment horizontal="center"/>
    </xf>
    <xf numFmtId="0" fontId="8" fillId="6" borderId="13" xfId="0" applyFont="1" applyFill="1" applyBorder="1" applyAlignment="1">
      <alignment horizontal="center"/>
    </xf>
    <xf numFmtId="166" fontId="4" fillId="0" borderId="1" xfId="0" applyNumberFormat="1" applyFont="1" applyBorder="1"/>
    <xf numFmtId="0" fontId="2" fillId="7" borderId="2" xfId="0" applyFont="1" applyFill="1" applyBorder="1" applyAlignment="1">
      <alignment horizontal="center" wrapText="1"/>
    </xf>
    <xf numFmtId="1" fontId="28" fillId="0" borderId="10" xfId="0" applyNumberFormat="1" applyFont="1" applyBorder="1"/>
    <xf numFmtId="1" fontId="28" fillId="0" borderId="15" xfId="0" applyNumberFormat="1" applyFont="1" applyBorder="1"/>
    <xf numFmtId="10" fontId="0" fillId="0" borderId="0" xfId="1" applyNumberFormat="1" applyFont="1"/>
    <xf numFmtId="167" fontId="0" fillId="0" borderId="0" xfId="0" applyNumberFormat="1"/>
    <xf numFmtId="0" fontId="8" fillId="3" borderId="0" xfId="0" applyFont="1" applyFill="1" applyBorder="1" applyAlignment="1">
      <alignment horizontal="center"/>
    </xf>
    <xf numFmtId="0" fontId="2" fillId="3" borderId="34" xfId="0" applyFont="1" applyFill="1" applyBorder="1" applyAlignment="1">
      <alignment horizontal="center" wrapText="1"/>
    </xf>
    <xf numFmtId="0" fontId="0" fillId="0" borderId="0" xfId="0" pivotButton="1" applyAlignment="1">
      <alignment horizontal="center"/>
    </xf>
    <xf numFmtId="0" fontId="0" fillId="9" borderId="0" xfId="0" applyFill="1" applyAlignment="1">
      <alignment horizontal="center"/>
    </xf>
    <xf numFmtId="0" fontId="15" fillId="8" borderId="0" xfId="0" applyNumberFormat="1" applyFont="1" applyFill="1" applyAlignment="1">
      <alignment horizontal="center"/>
    </xf>
    <xf numFmtId="10" fontId="15" fillId="8" borderId="0" xfId="0" applyNumberFormat="1" applyFont="1" applyFill="1" applyAlignment="1">
      <alignment horizontal="center"/>
    </xf>
    <xf numFmtId="0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6" xfId="0" applyNumberFormat="1" applyBorder="1"/>
    <xf numFmtId="0" fontId="8" fillId="5" borderId="4" xfId="0" applyFont="1" applyFill="1" applyBorder="1" applyAlignment="1">
      <alignment horizontal="center"/>
    </xf>
    <xf numFmtId="10" fontId="15" fillId="8" borderId="10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10" fontId="0" fillId="0" borderId="10" xfId="0" applyNumberFormat="1" applyBorder="1" applyAlignment="1">
      <alignment horizontal="center"/>
    </xf>
    <xf numFmtId="0" fontId="0" fillId="8" borderId="0" xfId="0" applyNumberFormat="1" applyFill="1" applyAlignment="1">
      <alignment horizontal="center"/>
    </xf>
    <xf numFmtId="10" fontId="0" fillId="8" borderId="0" xfId="0" applyNumberFormat="1" applyFill="1" applyAlignment="1">
      <alignment horizontal="center"/>
    </xf>
    <xf numFmtId="10" fontId="0" fillId="8" borderId="10" xfId="0" applyNumberForma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9" borderId="0" xfId="0" applyFill="1"/>
    <xf numFmtId="0" fontId="0" fillId="8" borderId="0" xfId="0" applyNumberFormat="1" applyFill="1"/>
    <xf numFmtId="10" fontId="0" fillId="8" borderId="0" xfId="0" applyNumberFormat="1" applyFill="1"/>
    <xf numFmtId="0" fontId="6" fillId="0" borderId="4" xfId="0" applyFont="1" applyBorder="1"/>
    <xf numFmtId="0" fontId="6" fillId="0" borderId="10" xfId="0" applyFont="1" applyBorder="1"/>
    <xf numFmtId="0" fontId="0" fillId="0" borderId="0" xfId="0" applyAlignment="1">
      <alignment wrapText="1"/>
    </xf>
    <xf numFmtId="0" fontId="0" fillId="0" borderId="0" xfId="0" applyBorder="1" applyAlignment="1">
      <alignment wrapText="1"/>
    </xf>
    <xf numFmtId="0" fontId="8" fillId="3" borderId="6" xfId="0" applyFont="1" applyFill="1" applyBorder="1" applyAlignment="1">
      <alignment horizontal="center"/>
    </xf>
    <xf numFmtId="169" fontId="0" fillId="0" borderId="6" xfId="1" applyNumberFormat="1" applyFont="1" applyBorder="1" applyAlignment="1">
      <alignment horizontal="center"/>
    </xf>
    <xf numFmtId="169" fontId="3" fillId="2" borderId="6" xfId="1" applyNumberFormat="1" applyFont="1" applyFill="1" applyBorder="1" applyAlignment="1">
      <alignment horizontal="center"/>
    </xf>
    <xf numFmtId="0" fontId="0" fillId="0" borderId="37" xfId="0" applyBorder="1"/>
    <xf numFmtId="0" fontId="8" fillId="3" borderId="38" xfId="0" applyFont="1" applyFill="1" applyBorder="1" applyAlignment="1">
      <alignment horizontal="center"/>
    </xf>
    <xf numFmtId="10" fontId="0" fillId="0" borderId="38" xfId="1" applyNumberFormat="1" applyFont="1" applyBorder="1" applyAlignment="1">
      <alignment horizontal="center"/>
    </xf>
    <xf numFmtId="10" fontId="3" fillId="2" borderId="38" xfId="1" applyNumberFormat="1" applyFont="1" applyFill="1" applyBorder="1" applyAlignment="1">
      <alignment horizontal="center"/>
    </xf>
    <xf numFmtId="0" fontId="0" fillId="0" borderId="39" xfId="0" applyBorder="1"/>
    <xf numFmtId="0" fontId="6" fillId="0" borderId="35" xfId="0" applyFont="1" applyBorder="1" applyAlignment="1">
      <alignment horizontal="center" wrapText="1"/>
    </xf>
    <xf numFmtId="0" fontId="6" fillId="0" borderId="36" xfId="0" applyFont="1" applyBorder="1" applyAlignment="1">
      <alignment horizontal="center" wrapText="1"/>
    </xf>
    <xf numFmtId="0" fontId="2" fillId="3" borderId="0" xfId="0" applyFont="1" applyFill="1" applyAlignment="1">
      <alignment horizontal="right" vertical="center" textRotation="90" wrapText="1"/>
    </xf>
    <xf numFmtId="7" fontId="0" fillId="0" borderId="0" xfId="0" applyNumberFormat="1" applyBorder="1"/>
    <xf numFmtId="1" fontId="6" fillId="0" borderId="1" xfId="0" applyNumberFormat="1" applyFont="1" applyBorder="1"/>
    <xf numFmtId="0" fontId="0" fillId="0" borderId="0" xfId="0" applyAlignment="1">
      <alignment horizontal="center" wrapText="1"/>
    </xf>
    <xf numFmtId="172" fontId="4" fillId="2" borderId="2" xfId="0" applyNumberFormat="1" applyFont="1" applyFill="1" applyBorder="1"/>
    <xf numFmtId="0" fontId="0" fillId="11" borderId="0" xfId="0" applyFill="1"/>
    <xf numFmtId="0" fontId="29" fillId="10" borderId="0" xfId="0" applyFont="1" applyFill="1" applyAlignment="1">
      <alignment horizontal="center"/>
    </xf>
    <xf numFmtId="0" fontId="6" fillId="10" borderId="0" xfId="0" applyFont="1" applyFill="1" applyAlignment="1">
      <alignment horizontal="center"/>
    </xf>
    <xf numFmtId="167" fontId="30" fillId="11" borderId="40" xfId="1" applyNumberFormat="1" applyFont="1" applyFill="1" applyBorder="1"/>
    <xf numFmtId="167" fontId="30" fillId="11" borderId="40" xfId="1" applyNumberFormat="1" applyFont="1" applyFill="1" applyBorder="1" applyAlignment="1">
      <alignment horizontal="center"/>
    </xf>
    <xf numFmtId="2" fontId="30" fillId="11" borderId="40" xfId="0" applyNumberFormat="1" applyFont="1" applyFill="1" applyBorder="1" applyAlignment="1">
      <alignment horizontal="center"/>
    </xf>
    <xf numFmtId="10" fontId="30" fillId="11" borderId="40" xfId="1" applyNumberFormat="1" applyFont="1" applyFill="1" applyBorder="1" applyAlignment="1">
      <alignment horizontal="center"/>
    </xf>
    <xf numFmtId="1" fontId="30" fillId="11" borderId="40" xfId="0" applyNumberFormat="1" applyFont="1" applyFill="1" applyBorder="1" applyAlignment="1">
      <alignment horizontal="center"/>
    </xf>
    <xf numFmtId="0" fontId="31" fillId="6" borderId="12" xfId="0" applyFont="1" applyFill="1" applyBorder="1" applyAlignment="1">
      <alignment horizontal="center"/>
    </xf>
    <xf numFmtId="0" fontId="32" fillId="6" borderId="13" xfId="0" applyFont="1" applyFill="1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27">
    <dxf>
      <font>
        <color rgb="FFFC7B17"/>
      </font>
    </dxf>
    <dxf>
      <alignment wrapText="1" readingOrder="0"/>
    </dxf>
    <dxf>
      <fill>
        <patternFill patternType="solid">
          <bgColor theme="0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vertical="bottom" readingOrder="0"/>
    </dxf>
    <dxf>
      <alignment vertical="bottom" readingOrder="0"/>
    </dxf>
    <dxf>
      <alignment horizontal="center" readingOrder="0"/>
    </dxf>
    <dxf>
      <alignment horizontal="center" readingOrder="0"/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0"/>
        </patternFill>
      </fill>
    </dxf>
    <dxf>
      <alignment horizontal="center" readingOrder="0"/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0"/>
        </patternFill>
      </fill>
    </dxf>
    <dxf>
      <font>
        <color auto="1"/>
      </font>
    </dxf>
  </dxfs>
  <tableStyles count="0" defaultTableStyle="TableStyleMedium2" defaultPivotStyle="PivotStyleLight16"/>
  <colors>
    <mruColors>
      <color rgb="FF54BFEC"/>
      <color rgb="FF0000FF"/>
      <color rgb="FF3B5998"/>
      <color rgb="FFA9D430"/>
      <color rgb="FFFC7B17"/>
      <color rgb="FF0284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ustomXml" Target="../customXml/item3.xml"/><Relationship Id="rId27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[Marketing Analytics - Asad Raza.xlsm]1.3 NPS!PivotTable3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ADWORDS VS FACEBOOK</a:t>
            </a:r>
            <a:r>
              <a:rPr lang="en-US" baseline="0"/>
              <a:t> NPS</a:t>
            </a:r>
            <a:endParaRPr lang="en-US"/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'1.3 NPS'!$Q$12:$Q$14</c:f>
              <c:strCache>
                <c:ptCount val="1"/>
                <c:pt idx="0">
                  <c:v>NPS - AdWords</c:v>
                </c:pt>
              </c:strCache>
            </c:strRef>
          </c:tx>
          <c:invertIfNegative val="0"/>
          <c:cat>
            <c:strRef>
              <c:f>'1.3 NPS'!$P$15:$P$26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'1.3 NPS'!$Q$15:$Q$26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7</c:v>
                </c:pt>
                <c:pt idx="7">
                  <c:v>14</c:v>
                </c:pt>
                <c:pt idx="8">
                  <c:v>6</c:v>
                </c:pt>
                <c:pt idx="9">
                  <c:v>31</c:v>
                </c:pt>
                <c:pt idx="10">
                  <c:v>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B39-44DA-8E96-051D73E33EA7}"/>
            </c:ext>
          </c:extLst>
        </c:ser>
        <c:ser>
          <c:idx val="1"/>
          <c:order val="1"/>
          <c:tx>
            <c:strRef>
              <c:f>'1.3 NPS'!$R$12:$R$14</c:f>
              <c:strCache>
                <c:ptCount val="1"/>
                <c:pt idx="0">
                  <c:v>NPS - Facebook</c:v>
                </c:pt>
              </c:strCache>
            </c:strRef>
          </c:tx>
          <c:invertIfNegative val="0"/>
          <c:cat>
            <c:strRef>
              <c:f>'1.3 NPS'!$P$15:$P$26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'1.3 NPS'!$R$15:$R$26</c:f>
              <c:numCache>
                <c:formatCode>General</c:formatCode>
                <c:ptCount val="11"/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7">
                  <c:v>14</c:v>
                </c:pt>
                <c:pt idx="8">
                  <c:v>16</c:v>
                </c:pt>
                <c:pt idx="9">
                  <c:v>43</c:v>
                </c:pt>
                <c:pt idx="10">
                  <c:v>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B39-44DA-8E96-051D73E33EA7}"/>
            </c:ext>
          </c:extLst>
        </c:ser>
        <c:ser>
          <c:idx val="2"/>
          <c:order val="2"/>
          <c:tx>
            <c:strRef>
              <c:f>'1.3 NPS'!$S$12:$S$14</c:f>
              <c:strCache>
                <c:ptCount val="1"/>
                <c:pt idx="0">
                  <c:v>NPS% - AdWords</c:v>
                </c:pt>
              </c:strCache>
            </c:strRef>
          </c:tx>
          <c:invertIfNegative val="0"/>
          <c:cat>
            <c:strRef>
              <c:f>'1.3 NPS'!$P$15:$P$26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'1.3 NPS'!$S$15:$S$26</c:f>
              <c:numCache>
                <c:formatCode>0.00%</c:formatCode>
                <c:ptCount val="11"/>
                <c:pt idx="0">
                  <c:v>1.1111111111111112E-2</c:v>
                </c:pt>
                <c:pt idx="1">
                  <c:v>1.1111111111111112E-2</c:v>
                </c:pt>
                <c:pt idx="2">
                  <c:v>1.1111111111111112E-2</c:v>
                </c:pt>
                <c:pt idx="3">
                  <c:v>0</c:v>
                </c:pt>
                <c:pt idx="4">
                  <c:v>2.2222222222222223E-2</c:v>
                </c:pt>
                <c:pt idx="5">
                  <c:v>5.5555555555555552E-2</c:v>
                </c:pt>
                <c:pt idx="6">
                  <c:v>7.7777777777777779E-2</c:v>
                </c:pt>
                <c:pt idx="7">
                  <c:v>0.15555555555555556</c:v>
                </c:pt>
                <c:pt idx="8">
                  <c:v>6.6666666666666666E-2</c:v>
                </c:pt>
                <c:pt idx="9">
                  <c:v>0.34444444444444444</c:v>
                </c:pt>
                <c:pt idx="10">
                  <c:v>0.24444444444444444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B39-44DA-8E96-051D73E33EA7}"/>
            </c:ext>
          </c:extLst>
        </c:ser>
        <c:ser>
          <c:idx val="3"/>
          <c:order val="3"/>
          <c:tx>
            <c:strRef>
              <c:f>'1.3 NPS'!$T$12:$T$14</c:f>
              <c:strCache>
                <c:ptCount val="1"/>
                <c:pt idx="0">
                  <c:v>NPS% - Facebook</c:v>
                </c:pt>
              </c:strCache>
            </c:strRef>
          </c:tx>
          <c:invertIfNegative val="0"/>
          <c:cat>
            <c:strRef>
              <c:f>'1.3 NPS'!$P$15:$P$26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'1.3 NPS'!$T$15:$T$26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9.8039215686274508E-3</c:v>
                </c:pt>
                <c:pt idx="3">
                  <c:v>9.8039215686274508E-3</c:v>
                </c:pt>
                <c:pt idx="4">
                  <c:v>1.9607843137254902E-2</c:v>
                </c:pt>
                <c:pt idx="5">
                  <c:v>2.9411764705882353E-2</c:v>
                </c:pt>
                <c:pt idx="6">
                  <c:v>0</c:v>
                </c:pt>
                <c:pt idx="7">
                  <c:v>0.13725490196078433</c:v>
                </c:pt>
                <c:pt idx="8">
                  <c:v>0.15686274509803921</c:v>
                </c:pt>
                <c:pt idx="9">
                  <c:v>0.42156862745098039</c:v>
                </c:pt>
                <c:pt idx="10">
                  <c:v>0.21568627450980393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EB39-44DA-8E96-051D73E33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084328608"/>
        <c:axId val="1084329152"/>
      </c:barChart>
      <c:catAx>
        <c:axId val="1084328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Score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1084329152"/>
        <c:crosses val="autoZero"/>
        <c:auto val="1"/>
        <c:lblAlgn val="ctr"/>
        <c:lblOffset val="100"/>
        <c:noMultiLvlLbl val="0"/>
      </c:catAx>
      <c:valAx>
        <c:axId val="10843291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NPS</a:t>
                </a:r>
                <a:r>
                  <a:rPr lang="en-US" baseline="0"/>
                  <a:t> %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08432860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solidFill>
        <a:schemeClr val="tx2">
          <a:lumMod val="60000"/>
          <a:lumOff val="40000"/>
        </a:schemeClr>
      </a:solidFill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AGE</a:t>
            </a:r>
            <a:r>
              <a:rPr lang="en-US" baseline="0"/>
              <a:t> GROUPS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v>AdWords</c:v>
          </c:tx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Lit>
              <c:ptCount val="5"/>
              <c:pt idx="0">
                <c:v>18-25</c:v>
              </c:pt>
              <c:pt idx="1">
                <c:v>26-35</c:v>
              </c:pt>
              <c:pt idx="2">
                <c:v>36-45</c:v>
              </c:pt>
              <c:pt idx="3">
                <c:v>46-55</c:v>
              </c:pt>
              <c:pt idx="4">
                <c:v>55+</c:v>
              </c:pt>
            </c:strLit>
          </c:cat>
          <c:val>
            <c:numLit>
              <c:formatCode>General</c:formatCode>
              <c:ptCount val="5"/>
              <c:pt idx="0">
                <c:v>20</c:v>
              </c:pt>
              <c:pt idx="1">
                <c:v>33</c:v>
              </c:pt>
              <c:pt idx="2">
                <c:v>16</c:v>
              </c:pt>
              <c:pt idx="3">
                <c:v>11</c:v>
              </c:pt>
              <c:pt idx="4">
                <c:v>10</c:v>
              </c:pt>
            </c:numLit>
          </c:val>
        </c:ser>
        <c:ser>
          <c:idx val="1"/>
          <c:order val="1"/>
          <c:tx>
            <c:v>Facebook</c:v>
          </c:tx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18-25</c:v>
              </c:pt>
              <c:pt idx="1">
                <c:v>26-35</c:v>
              </c:pt>
              <c:pt idx="2">
                <c:v>36-45</c:v>
              </c:pt>
              <c:pt idx="3">
                <c:v>46-55</c:v>
              </c:pt>
              <c:pt idx="4">
                <c:v>55+</c:v>
              </c:pt>
            </c:strLit>
          </c:cat>
          <c:val>
            <c:numLit>
              <c:formatCode>General</c:formatCode>
              <c:ptCount val="5"/>
              <c:pt idx="0">
                <c:v>44</c:v>
              </c:pt>
              <c:pt idx="1">
                <c:v>39</c:v>
              </c:pt>
              <c:pt idx="2">
                <c:v>11</c:v>
              </c:pt>
              <c:pt idx="3">
                <c:v>4</c:v>
              </c:pt>
              <c:pt idx="4">
                <c:v>4</c:v>
              </c:pt>
            </c:numLit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rgbClr val="0000FF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NPS Score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v>NPS - AdWords</c:v>
          </c:tx>
          <c:invertIfNegative val="0"/>
          <c:cat>
            <c:strLit>
              <c:ptCount val="1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</c:strLit>
          </c:cat>
          <c:val>
            <c:numLit>
              <c:formatCode>General</c:formatCode>
              <c:ptCount val="11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0</c:v>
              </c:pt>
              <c:pt idx="4">
                <c:v>2</c:v>
              </c:pt>
              <c:pt idx="5">
                <c:v>5</c:v>
              </c:pt>
              <c:pt idx="6">
                <c:v>7</c:v>
              </c:pt>
              <c:pt idx="7">
                <c:v>14</c:v>
              </c:pt>
              <c:pt idx="8">
                <c:v>6</c:v>
              </c:pt>
              <c:pt idx="9">
                <c:v>31</c:v>
              </c:pt>
              <c:pt idx="10">
                <c:v>22</c:v>
              </c:pt>
            </c:numLit>
          </c:val>
        </c:ser>
        <c:ser>
          <c:idx val="1"/>
          <c:order val="1"/>
          <c:tx>
            <c:v>NPS - Facebook</c:v>
          </c:tx>
          <c:invertIfNegative val="0"/>
          <c:cat>
            <c:strLit>
              <c:ptCount val="1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1</c:v>
              </c:pt>
              <c:pt idx="3">
                <c:v>1</c:v>
              </c:pt>
              <c:pt idx="4">
                <c:v>2</c:v>
              </c:pt>
              <c:pt idx="5">
                <c:v>3</c:v>
              </c:pt>
              <c:pt idx="6">
                <c:v>0</c:v>
              </c:pt>
              <c:pt idx="7">
                <c:v>14</c:v>
              </c:pt>
              <c:pt idx="8">
                <c:v>16</c:v>
              </c:pt>
              <c:pt idx="9">
                <c:v>43</c:v>
              </c:pt>
              <c:pt idx="10">
                <c:v>22</c:v>
              </c:pt>
            </c:numLit>
          </c:val>
        </c:ser>
        <c:ser>
          <c:idx val="2"/>
          <c:order val="2"/>
          <c:tx>
            <c:v>NPS% - AdWords</c:v>
          </c:tx>
          <c:invertIfNegative val="0"/>
          <c:cat>
            <c:strLit>
              <c:ptCount val="1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</c:strLit>
          </c:cat>
          <c:val>
            <c:numLit>
              <c:formatCode>General</c:formatCode>
              <c:ptCount val="11"/>
              <c:pt idx="0">
                <c:v>1.1111111111111112E-2</c:v>
              </c:pt>
              <c:pt idx="1">
                <c:v>1.1111111111111112E-2</c:v>
              </c:pt>
              <c:pt idx="2">
                <c:v>1.1111111111111112E-2</c:v>
              </c:pt>
              <c:pt idx="3">
                <c:v>0</c:v>
              </c:pt>
              <c:pt idx="4">
                <c:v>2.2222222222222223E-2</c:v>
              </c:pt>
              <c:pt idx="5">
                <c:v>5.5555555555555552E-2</c:v>
              </c:pt>
              <c:pt idx="6">
                <c:v>7.7777777777777779E-2</c:v>
              </c:pt>
              <c:pt idx="7">
                <c:v>0.15555555555555556</c:v>
              </c:pt>
              <c:pt idx="8">
                <c:v>6.6666666666666666E-2</c:v>
              </c:pt>
              <c:pt idx="9">
                <c:v>0.34444444444444444</c:v>
              </c:pt>
              <c:pt idx="10">
                <c:v>0.24444444444444444</c:v>
              </c:pt>
            </c:numLit>
          </c:val>
        </c:ser>
        <c:ser>
          <c:idx val="3"/>
          <c:order val="3"/>
          <c:tx>
            <c:v>NPS% - Facebook</c:v>
          </c:tx>
          <c:invertIfNegative val="0"/>
          <c:cat>
            <c:strLit>
              <c:ptCount val="1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9.8039215686274508E-3</c:v>
              </c:pt>
              <c:pt idx="3">
                <c:v>9.8039215686274508E-3</c:v>
              </c:pt>
              <c:pt idx="4">
                <c:v>1.9607843137254902E-2</c:v>
              </c:pt>
              <c:pt idx="5">
                <c:v>2.9411764705882353E-2</c:v>
              </c:pt>
              <c:pt idx="6">
                <c:v>0</c:v>
              </c:pt>
              <c:pt idx="7">
                <c:v>0.13725490196078433</c:v>
              </c:pt>
              <c:pt idx="8">
                <c:v>0.15686274509803921</c:v>
              </c:pt>
              <c:pt idx="9">
                <c:v>0.42156862745098039</c:v>
              </c:pt>
              <c:pt idx="10">
                <c:v>0.21568627450980393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93413040"/>
        <c:axId val="1193402704"/>
      </c:barChart>
      <c:catAx>
        <c:axId val="11934130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Score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1193402704"/>
        <c:crosses val="autoZero"/>
        <c:auto val="1"/>
        <c:lblAlgn val="ctr"/>
        <c:lblOffset val="100"/>
        <c:noMultiLvlLbl val="0"/>
      </c:catAx>
      <c:valAx>
        <c:axId val="1193402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NPS %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93413040"/>
        <c:crosses val="autoZero"/>
        <c:crossBetween val="between"/>
      </c:valAx>
      <c:spPr>
        <a:solidFill>
          <a:schemeClr val="accent2">
            <a:lumMod val="40000"/>
            <a:lumOff val="6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2">
        <a:lumMod val="40000"/>
        <a:lumOff val="60000"/>
      </a:schemeClr>
    </a:solidFill>
    <a:ln>
      <a:solidFill>
        <a:srgbClr val="3B5998"/>
      </a:solidFill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[Marketing Analytics - Asad Raza.xlsm]Pivots!PivotTable7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Survey</a:t>
            </a:r>
            <a:r>
              <a:rPr lang="en-US" b="1" baseline="0"/>
              <a:t> Analysis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Pivots!$L$4:$L$6</c:f>
              <c:strCache>
                <c:ptCount val="1"/>
                <c:pt idx="0">
                  <c:v>Hear First - AdWords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Pivots!$K$7:$K$13</c:f>
              <c:strCache>
                <c:ptCount val="6"/>
                <c:pt idx="0">
                  <c:v>Article</c:v>
                </c:pt>
                <c:pt idx="1">
                  <c:v>Conference</c:v>
                </c:pt>
                <c:pt idx="2">
                  <c:v>Friend, family, or colleague</c:v>
                </c:pt>
                <c:pt idx="3">
                  <c:v>Online Ad</c:v>
                </c:pt>
                <c:pt idx="4">
                  <c:v>Other</c:v>
                </c:pt>
                <c:pt idx="5">
                  <c:v>Web search</c:v>
                </c:pt>
              </c:strCache>
            </c:strRef>
          </c:cat>
          <c:val>
            <c:numRef>
              <c:f>Pivots!$L$7:$L$13</c:f>
              <c:numCache>
                <c:formatCode>General</c:formatCode>
                <c:ptCount val="6"/>
                <c:pt idx="0">
                  <c:v>18</c:v>
                </c:pt>
                <c:pt idx="1">
                  <c:v>13</c:v>
                </c:pt>
                <c:pt idx="2">
                  <c:v>15</c:v>
                </c:pt>
                <c:pt idx="3">
                  <c:v>14</c:v>
                </c:pt>
                <c:pt idx="4">
                  <c:v>7</c:v>
                </c:pt>
                <c:pt idx="5">
                  <c:v>23</c:v>
                </c:pt>
              </c:numCache>
            </c:numRef>
          </c:val>
        </c:ser>
        <c:ser>
          <c:idx val="1"/>
          <c:order val="1"/>
          <c:tx>
            <c:strRef>
              <c:f>Pivots!$M$4:$M$6</c:f>
              <c:strCache>
                <c:ptCount val="1"/>
                <c:pt idx="0">
                  <c:v>Hear First - Facebook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Pivots!$K$7:$K$13</c:f>
              <c:strCache>
                <c:ptCount val="6"/>
                <c:pt idx="0">
                  <c:v>Article</c:v>
                </c:pt>
                <c:pt idx="1">
                  <c:v>Conference</c:v>
                </c:pt>
                <c:pt idx="2">
                  <c:v>Friend, family, or colleague</c:v>
                </c:pt>
                <c:pt idx="3">
                  <c:v>Online Ad</c:v>
                </c:pt>
                <c:pt idx="4">
                  <c:v>Other</c:v>
                </c:pt>
                <c:pt idx="5">
                  <c:v>Web search</c:v>
                </c:pt>
              </c:strCache>
            </c:strRef>
          </c:cat>
          <c:val>
            <c:numRef>
              <c:f>Pivots!$M$7:$M$13</c:f>
              <c:numCache>
                <c:formatCode>General</c:formatCode>
                <c:ptCount val="6"/>
                <c:pt idx="0">
                  <c:v>15</c:v>
                </c:pt>
                <c:pt idx="1">
                  <c:v>8</c:v>
                </c:pt>
                <c:pt idx="2">
                  <c:v>32</c:v>
                </c:pt>
                <c:pt idx="3">
                  <c:v>16</c:v>
                </c:pt>
                <c:pt idx="4">
                  <c:v>18</c:v>
                </c:pt>
                <c:pt idx="5">
                  <c:v>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3405424"/>
        <c:axId val="1193403248"/>
      </c:barChart>
      <c:lineChart>
        <c:grouping val="standard"/>
        <c:varyColors val="0"/>
        <c:ser>
          <c:idx val="2"/>
          <c:order val="2"/>
          <c:tx>
            <c:strRef>
              <c:f>Pivots!$N$4:$N$6</c:f>
              <c:strCache>
                <c:ptCount val="1"/>
                <c:pt idx="0">
                  <c:v>Hear First %age - AdWords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Pivots!$K$7:$K$13</c:f>
              <c:strCache>
                <c:ptCount val="6"/>
                <c:pt idx="0">
                  <c:v>Article</c:v>
                </c:pt>
                <c:pt idx="1">
                  <c:v>Conference</c:v>
                </c:pt>
                <c:pt idx="2">
                  <c:v>Friend, family, or colleague</c:v>
                </c:pt>
                <c:pt idx="3">
                  <c:v>Online Ad</c:v>
                </c:pt>
                <c:pt idx="4">
                  <c:v>Other</c:v>
                </c:pt>
                <c:pt idx="5">
                  <c:v>Web search</c:v>
                </c:pt>
              </c:strCache>
            </c:strRef>
          </c:cat>
          <c:val>
            <c:numRef>
              <c:f>Pivots!$N$7:$N$13</c:f>
              <c:numCache>
                <c:formatCode>0.00%</c:formatCode>
                <c:ptCount val="6"/>
                <c:pt idx="0">
                  <c:v>0.2</c:v>
                </c:pt>
                <c:pt idx="1">
                  <c:v>0.14444444444444443</c:v>
                </c:pt>
                <c:pt idx="2">
                  <c:v>0.16666666666666666</c:v>
                </c:pt>
                <c:pt idx="3">
                  <c:v>0.15555555555555556</c:v>
                </c:pt>
                <c:pt idx="4">
                  <c:v>7.7777777777777779E-2</c:v>
                </c:pt>
                <c:pt idx="5">
                  <c:v>0.25555555555555554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Pivots!$O$4:$O$6</c:f>
              <c:strCache>
                <c:ptCount val="1"/>
                <c:pt idx="0">
                  <c:v>Hear First %age - Facebook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Pivots!$K$7:$K$13</c:f>
              <c:strCache>
                <c:ptCount val="6"/>
                <c:pt idx="0">
                  <c:v>Article</c:v>
                </c:pt>
                <c:pt idx="1">
                  <c:v>Conference</c:v>
                </c:pt>
                <c:pt idx="2">
                  <c:v>Friend, family, or colleague</c:v>
                </c:pt>
                <c:pt idx="3">
                  <c:v>Online Ad</c:v>
                </c:pt>
                <c:pt idx="4">
                  <c:v>Other</c:v>
                </c:pt>
                <c:pt idx="5">
                  <c:v>Web search</c:v>
                </c:pt>
              </c:strCache>
            </c:strRef>
          </c:cat>
          <c:val>
            <c:numRef>
              <c:f>Pivots!$O$7:$O$13</c:f>
              <c:numCache>
                <c:formatCode>0.00%</c:formatCode>
                <c:ptCount val="6"/>
                <c:pt idx="0">
                  <c:v>0.14705882352941177</c:v>
                </c:pt>
                <c:pt idx="1">
                  <c:v>7.8431372549019607E-2</c:v>
                </c:pt>
                <c:pt idx="2">
                  <c:v>0.31372549019607843</c:v>
                </c:pt>
                <c:pt idx="3">
                  <c:v>0.15686274509803921</c:v>
                </c:pt>
                <c:pt idx="4">
                  <c:v>0.17647058823529413</c:v>
                </c:pt>
                <c:pt idx="5">
                  <c:v>0.12745098039215685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3405424"/>
        <c:axId val="1193403248"/>
      </c:lineChart>
      <c:catAx>
        <c:axId val="1193405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Sources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403248"/>
        <c:crosses val="autoZero"/>
        <c:auto val="1"/>
        <c:lblAlgn val="ctr"/>
        <c:lblOffset val="100"/>
        <c:noMultiLvlLbl val="0"/>
      </c:catAx>
      <c:valAx>
        <c:axId val="11934032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Hear</a:t>
                </a:r>
                <a:r>
                  <a:rPr lang="en-US" baseline="0"/>
                  <a:t> First Score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405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rgbClr val="3B5998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[Marketing Analytics - Asad Raza.xlsm]1.3 NPS!PivotTable3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baseline="0"/>
              <a:t>Net Promoter Score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'1.3 NPS'!$Q$12:$Q$14</c:f>
              <c:strCache>
                <c:ptCount val="1"/>
                <c:pt idx="0">
                  <c:v>NPS - AdWords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'1.3 NPS'!$P$15:$P$26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'1.3 NPS'!$Q$15:$Q$26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7</c:v>
                </c:pt>
                <c:pt idx="7">
                  <c:v>14</c:v>
                </c:pt>
                <c:pt idx="8">
                  <c:v>6</c:v>
                </c:pt>
                <c:pt idx="9">
                  <c:v>31</c:v>
                </c:pt>
                <c:pt idx="10">
                  <c:v>22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'1.3 NPS'!$R$12:$R$14</c:f>
              <c:strCache>
                <c:ptCount val="1"/>
                <c:pt idx="0">
                  <c:v>NPS - Facebook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'1.3 NPS'!$P$15:$P$26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'1.3 NPS'!$R$15:$R$26</c:f>
              <c:numCache>
                <c:formatCode>General</c:formatCode>
                <c:ptCount val="11"/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7">
                  <c:v>14</c:v>
                </c:pt>
                <c:pt idx="8">
                  <c:v>16</c:v>
                </c:pt>
                <c:pt idx="9">
                  <c:v>43</c:v>
                </c:pt>
                <c:pt idx="10">
                  <c:v>22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'1.3 NPS'!$S$12:$S$14</c:f>
              <c:strCache>
                <c:ptCount val="1"/>
                <c:pt idx="0">
                  <c:v>NPS% - AdWords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'1.3 NPS'!$P$15:$P$26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'1.3 NPS'!$S$15:$S$26</c:f>
              <c:numCache>
                <c:formatCode>0.00%</c:formatCode>
                <c:ptCount val="11"/>
                <c:pt idx="0">
                  <c:v>1.1111111111111112E-2</c:v>
                </c:pt>
                <c:pt idx="1">
                  <c:v>1.1111111111111112E-2</c:v>
                </c:pt>
                <c:pt idx="2">
                  <c:v>1.1111111111111112E-2</c:v>
                </c:pt>
                <c:pt idx="3">
                  <c:v>0</c:v>
                </c:pt>
                <c:pt idx="4">
                  <c:v>2.2222222222222223E-2</c:v>
                </c:pt>
                <c:pt idx="5">
                  <c:v>5.5555555555555552E-2</c:v>
                </c:pt>
                <c:pt idx="6">
                  <c:v>7.7777777777777779E-2</c:v>
                </c:pt>
                <c:pt idx="7">
                  <c:v>0.15555555555555556</c:v>
                </c:pt>
                <c:pt idx="8">
                  <c:v>6.6666666666666666E-2</c:v>
                </c:pt>
                <c:pt idx="9">
                  <c:v>0.34444444444444444</c:v>
                </c:pt>
                <c:pt idx="10">
                  <c:v>0.24444444444444444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'1.3 NPS'!$T$12:$T$14</c:f>
              <c:strCache>
                <c:ptCount val="1"/>
                <c:pt idx="0">
                  <c:v>NPS% - Facebook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'1.3 NPS'!$P$15:$P$26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'1.3 NPS'!$T$15:$T$26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9.8039215686274508E-3</c:v>
                </c:pt>
                <c:pt idx="3">
                  <c:v>9.8039215686274508E-3</c:v>
                </c:pt>
                <c:pt idx="4">
                  <c:v>1.9607843137254902E-2</c:v>
                </c:pt>
                <c:pt idx="5">
                  <c:v>2.9411764705882353E-2</c:v>
                </c:pt>
                <c:pt idx="6">
                  <c:v>0</c:v>
                </c:pt>
                <c:pt idx="7">
                  <c:v>0.13725490196078433</c:v>
                </c:pt>
                <c:pt idx="8">
                  <c:v>0.15686274509803921</c:v>
                </c:pt>
                <c:pt idx="9">
                  <c:v>0.42156862745098039</c:v>
                </c:pt>
                <c:pt idx="10">
                  <c:v>0.21568627450980393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4321536"/>
        <c:axId val="1084322080"/>
      </c:lineChart>
      <c:catAx>
        <c:axId val="1084321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322080"/>
        <c:crosses val="autoZero"/>
        <c:auto val="1"/>
        <c:lblAlgn val="ctr"/>
        <c:lblOffset val="100"/>
        <c:noMultiLvlLbl val="0"/>
      </c:catAx>
      <c:valAx>
        <c:axId val="10843220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NPS</a:t>
                </a:r>
                <a:r>
                  <a:rPr lang="en-US" baseline="0"/>
                  <a:t> %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32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rgbClr val="0000FF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0</xdr:colOff>
      <xdr:row>42</xdr:row>
      <xdr:rowOff>45720</xdr:rowOff>
    </xdr:to>
    <xdr:sp macro="" textlink="">
      <xdr:nvSpPr>
        <xdr:cNvPr id="2" name="Shape 37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13363575" cy="8046720"/>
        </a:xfrm>
        <a:prstGeom prst="rect">
          <a:avLst/>
        </a:prstGeom>
        <a:solidFill>
          <a:srgbClr val="54BFEC"/>
        </a:solidFill>
        <a:ln>
          <a:noFill/>
        </a:ln>
      </xdr:spPr>
      <xdr:txBody>
        <a:bodyPr wrap="square" lIns="121900" tIns="121900" rIns="121900" bIns="121900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lvl="0">
            <a:spcBef>
              <a:spcPts val="0"/>
            </a:spcBef>
            <a:buNone/>
          </a:pPr>
          <a:endParaRPr sz="1867"/>
        </a:p>
      </xdr:txBody>
    </xdr:sp>
    <xdr:clientData/>
  </xdr:twoCellAnchor>
  <xdr:twoCellAnchor>
    <xdr:from>
      <xdr:col>3</xdr:col>
      <xdr:colOff>595851</xdr:colOff>
      <xdr:row>0</xdr:row>
      <xdr:rowOff>65506</xdr:rowOff>
    </xdr:from>
    <xdr:to>
      <xdr:col>11</xdr:col>
      <xdr:colOff>222471</xdr:colOff>
      <xdr:row>35</xdr:row>
      <xdr:rowOff>73126</xdr:rowOff>
    </xdr:to>
    <xdr:sp macro="" textlink="">
      <xdr:nvSpPr>
        <xdr:cNvPr id="3" name="Shape 38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3329526" y="65506"/>
          <a:ext cx="6713220" cy="6675120"/>
        </a:xfrm>
        <a:prstGeom prst="ellipse">
          <a:avLst/>
        </a:prstGeom>
        <a:solidFill>
          <a:srgbClr val="FFFFFF"/>
        </a:solidFill>
        <a:ln>
          <a:noFill/>
        </a:ln>
      </xdr:spPr>
      <xdr:txBody>
        <a:bodyPr wrap="square" lIns="121900" tIns="121900" rIns="121900" bIns="121900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lvl="0">
            <a:spcBef>
              <a:spcPts val="0"/>
            </a:spcBef>
            <a:buNone/>
          </a:pPr>
          <a:endParaRPr sz="1867"/>
        </a:p>
      </xdr:txBody>
    </xdr:sp>
    <xdr:clientData/>
  </xdr:twoCellAnchor>
  <xdr:twoCellAnchor>
    <xdr:from>
      <xdr:col>7</xdr:col>
      <xdr:colOff>804800</xdr:colOff>
      <xdr:row>0</xdr:row>
      <xdr:rowOff>0</xdr:rowOff>
    </xdr:from>
    <xdr:to>
      <xdr:col>10</xdr:col>
      <xdr:colOff>264732</xdr:colOff>
      <xdr:row>11</xdr:row>
      <xdr:rowOff>7620</xdr:rowOff>
    </xdr:to>
    <xdr:sp macro="" textlink="">
      <xdr:nvSpPr>
        <xdr:cNvPr id="4" name="Shape 39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7081775" y="0"/>
          <a:ext cx="2117407" cy="2103120"/>
        </a:xfrm>
        <a:prstGeom prst="ellipse">
          <a:avLst/>
        </a:prstGeom>
        <a:solidFill>
          <a:srgbClr val="A9D430">
            <a:alpha val="79620"/>
          </a:srgbClr>
        </a:solidFill>
        <a:ln>
          <a:noFill/>
        </a:ln>
      </xdr:spPr>
      <xdr:txBody>
        <a:bodyPr wrap="square" lIns="121900" tIns="121900" rIns="121900" bIns="121900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lvl="0">
            <a:spcBef>
              <a:spcPts val="0"/>
            </a:spcBef>
            <a:buNone/>
          </a:pPr>
          <a:endParaRPr sz="1867"/>
        </a:p>
      </xdr:txBody>
    </xdr:sp>
    <xdr:clientData/>
  </xdr:twoCellAnchor>
  <xdr:twoCellAnchor>
    <xdr:from>
      <xdr:col>8</xdr:col>
      <xdr:colOff>553000</xdr:colOff>
      <xdr:row>31</xdr:row>
      <xdr:rowOff>105733</xdr:rowOff>
    </xdr:from>
    <xdr:to>
      <xdr:col>9</xdr:col>
      <xdr:colOff>769218</xdr:colOff>
      <xdr:row>37</xdr:row>
      <xdr:rowOff>58871</xdr:rowOff>
    </xdr:to>
    <xdr:sp macro="" textlink="">
      <xdr:nvSpPr>
        <xdr:cNvPr id="5" name="Shape 40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7715800" y="6011233"/>
          <a:ext cx="1102043" cy="1096138"/>
        </a:xfrm>
        <a:prstGeom prst="ellipse">
          <a:avLst/>
        </a:prstGeom>
        <a:solidFill>
          <a:srgbClr val="0284BA"/>
        </a:solidFill>
        <a:ln>
          <a:noFill/>
        </a:ln>
      </xdr:spPr>
      <xdr:txBody>
        <a:bodyPr wrap="square" lIns="121900" tIns="121900" rIns="121900" bIns="121900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lvl="0">
            <a:spcBef>
              <a:spcPts val="0"/>
            </a:spcBef>
            <a:buNone/>
          </a:pPr>
          <a:endParaRPr sz="1867"/>
        </a:p>
      </xdr:txBody>
    </xdr:sp>
    <xdr:clientData/>
  </xdr:twoCellAnchor>
  <xdr:twoCellAnchor>
    <xdr:from>
      <xdr:col>3</xdr:col>
      <xdr:colOff>729199</xdr:colOff>
      <xdr:row>25</xdr:row>
      <xdr:rowOff>121603</xdr:rowOff>
    </xdr:from>
    <xdr:to>
      <xdr:col>5</xdr:col>
      <xdr:colOff>800532</xdr:colOff>
      <xdr:row>35</xdr:row>
      <xdr:rowOff>45403</xdr:rowOff>
    </xdr:to>
    <xdr:sp macro="" textlink="">
      <xdr:nvSpPr>
        <xdr:cNvPr id="6" name="Shape 41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3462874" y="4884103"/>
          <a:ext cx="1842983" cy="1828800"/>
        </a:xfrm>
        <a:prstGeom prst="ellipse">
          <a:avLst/>
        </a:prstGeom>
        <a:solidFill>
          <a:srgbClr val="FC9817">
            <a:alpha val="78850"/>
          </a:srgbClr>
        </a:solidFill>
        <a:ln>
          <a:noFill/>
        </a:ln>
      </xdr:spPr>
      <xdr:txBody>
        <a:bodyPr wrap="square" lIns="121900" tIns="121900" rIns="121900" bIns="121900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lvl="0">
            <a:spcBef>
              <a:spcPts val="0"/>
            </a:spcBef>
            <a:buNone/>
          </a:pPr>
          <a:endParaRPr sz="1867"/>
        </a:p>
      </xdr:txBody>
    </xdr:sp>
    <xdr:clientData/>
  </xdr:twoCellAnchor>
  <xdr:twoCellAnchor>
    <xdr:from>
      <xdr:col>3</xdr:col>
      <xdr:colOff>153886</xdr:colOff>
      <xdr:row>2</xdr:row>
      <xdr:rowOff>111578</xdr:rowOff>
    </xdr:from>
    <xdr:to>
      <xdr:col>4</xdr:col>
      <xdr:colOff>644423</xdr:colOff>
      <xdr:row>9</xdr:row>
      <xdr:rowOff>149678</xdr:rowOff>
    </xdr:to>
    <xdr:sp macro="" textlink="">
      <xdr:nvSpPr>
        <xdr:cNvPr id="7" name="Shape 42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887561" y="492578"/>
          <a:ext cx="1376362" cy="1371600"/>
        </a:xfrm>
        <a:prstGeom prst="ellipse">
          <a:avLst/>
        </a:prstGeom>
        <a:solidFill>
          <a:srgbClr val="A9D430"/>
        </a:solidFill>
        <a:ln>
          <a:noFill/>
        </a:ln>
      </xdr:spPr>
      <xdr:txBody>
        <a:bodyPr wrap="square" lIns="121900" tIns="121900" rIns="121900" bIns="121900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lvl="0">
            <a:spcBef>
              <a:spcPts val="0"/>
            </a:spcBef>
            <a:buNone/>
          </a:pPr>
          <a:endParaRPr sz="1867"/>
        </a:p>
      </xdr:txBody>
    </xdr:sp>
    <xdr:clientData/>
  </xdr:twoCellAnchor>
  <xdr:twoCellAnchor>
    <xdr:from>
      <xdr:col>9</xdr:col>
      <xdr:colOff>471199</xdr:colOff>
      <xdr:row>8</xdr:row>
      <xdr:rowOff>136286</xdr:rowOff>
    </xdr:from>
    <xdr:to>
      <xdr:col>10</xdr:col>
      <xdr:colOff>230216</xdr:colOff>
      <xdr:row>12</xdr:row>
      <xdr:rowOff>14366</xdr:rowOff>
    </xdr:to>
    <xdr:sp macro="" textlink="">
      <xdr:nvSpPr>
        <xdr:cNvPr id="8" name="Shape 43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8519824" y="1660286"/>
          <a:ext cx="644842" cy="640080"/>
        </a:xfrm>
        <a:prstGeom prst="ellipse">
          <a:avLst/>
        </a:prstGeom>
        <a:solidFill>
          <a:srgbClr val="FC9817"/>
        </a:solidFill>
        <a:ln>
          <a:noFill/>
        </a:ln>
      </xdr:spPr>
      <xdr:txBody>
        <a:bodyPr wrap="square" lIns="121900" tIns="121900" rIns="121900" bIns="121900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lvl="0">
            <a:spcBef>
              <a:spcPts val="0"/>
            </a:spcBef>
            <a:buNone/>
          </a:pPr>
          <a:endParaRPr sz="1867"/>
        </a:p>
      </xdr:txBody>
    </xdr:sp>
    <xdr:clientData/>
  </xdr:twoCellAnchor>
  <xdr:twoCellAnchor>
    <xdr:from>
      <xdr:col>3</xdr:col>
      <xdr:colOff>347631</xdr:colOff>
      <xdr:row>23</xdr:row>
      <xdr:rowOff>129757</xdr:rowOff>
    </xdr:from>
    <xdr:to>
      <xdr:col>4</xdr:col>
      <xdr:colOff>106648</xdr:colOff>
      <xdr:row>27</xdr:row>
      <xdr:rowOff>7837</xdr:rowOff>
    </xdr:to>
    <xdr:sp macro="" textlink="">
      <xdr:nvSpPr>
        <xdr:cNvPr id="9" name="Shape 44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3081306" y="4511257"/>
          <a:ext cx="644842" cy="640080"/>
        </a:xfrm>
        <a:prstGeom prst="ellipse">
          <a:avLst/>
        </a:prstGeom>
        <a:solidFill>
          <a:srgbClr val="0284BA"/>
        </a:solidFill>
        <a:ln>
          <a:noFill/>
        </a:ln>
      </xdr:spPr>
      <xdr:txBody>
        <a:bodyPr wrap="square" lIns="121900" tIns="121900" rIns="121900" bIns="121900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lvl="0">
            <a:spcBef>
              <a:spcPts val="0"/>
            </a:spcBef>
            <a:buNone/>
          </a:pPr>
          <a:endParaRPr sz="1867"/>
        </a:p>
      </xdr:txBody>
    </xdr:sp>
    <xdr:clientData/>
  </xdr:twoCellAnchor>
  <xdr:twoCellAnchor>
    <xdr:from>
      <xdr:col>3</xdr:col>
      <xdr:colOff>520337</xdr:colOff>
      <xdr:row>9</xdr:row>
      <xdr:rowOff>65461</xdr:rowOff>
    </xdr:from>
    <xdr:to>
      <xdr:col>4</xdr:col>
      <xdr:colOff>96474</xdr:colOff>
      <xdr:row>11</xdr:row>
      <xdr:rowOff>141661</xdr:rowOff>
    </xdr:to>
    <xdr:sp macro="" textlink="">
      <xdr:nvSpPr>
        <xdr:cNvPr id="10" name="Shape 45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3254012" y="1779961"/>
          <a:ext cx="461962" cy="457200"/>
        </a:xfrm>
        <a:prstGeom prst="ellipse">
          <a:avLst/>
        </a:prstGeom>
        <a:solidFill>
          <a:srgbClr val="FFFFFF"/>
        </a:solidFill>
        <a:ln>
          <a:noFill/>
        </a:ln>
      </xdr:spPr>
      <xdr:txBody>
        <a:bodyPr wrap="square" lIns="121900" tIns="121900" rIns="121900" bIns="121900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lvl="0">
            <a:spcBef>
              <a:spcPts val="0"/>
            </a:spcBef>
            <a:buNone/>
          </a:pPr>
          <a:endParaRPr sz="1867"/>
        </a:p>
      </xdr:txBody>
    </xdr:sp>
    <xdr:clientData/>
  </xdr:twoCellAnchor>
  <xdr:twoCellAnchor>
    <xdr:from>
      <xdr:col>9</xdr:col>
      <xdr:colOff>877614</xdr:colOff>
      <xdr:row>6</xdr:row>
      <xdr:rowOff>121222</xdr:rowOff>
    </xdr:from>
    <xdr:to>
      <xdr:col>10</xdr:col>
      <xdr:colOff>179431</xdr:colOff>
      <xdr:row>7</xdr:row>
      <xdr:rowOff>113602</xdr:rowOff>
    </xdr:to>
    <xdr:sp macro="" textlink="">
      <xdr:nvSpPr>
        <xdr:cNvPr id="11" name="Shape 46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8926239" y="1264222"/>
          <a:ext cx="187642" cy="182880"/>
        </a:xfrm>
        <a:prstGeom prst="ellipse">
          <a:avLst/>
        </a:prstGeom>
        <a:solidFill>
          <a:srgbClr val="FFFFFF"/>
        </a:solidFill>
        <a:ln>
          <a:noFill/>
        </a:ln>
      </xdr:spPr>
      <xdr:txBody>
        <a:bodyPr wrap="square" lIns="121900" tIns="121900" rIns="121900" bIns="121900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lvl="0">
            <a:spcBef>
              <a:spcPts val="0"/>
            </a:spcBef>
            <a:buNone/>
          </a:pPr>
          <a:endParaRPr sz="1867"/>
        </a:p>
      </xdr:txBody>
    </xdr:sp>
    <xdr:clientData/>
  </xdr:twoCellAnchor>
  <xdr:twoCellAnchor>
    <xdr:from>
      <xdr:col>9</xdr:col>
      <xdr:colOff>4986</xdr:colOff>
      <xdr:row>29</xdr:row>
      <xdr:rowOff>79599</xdr:rowOff>
    </xdr:from>
    <xdr:to>
      <xdr:col>9</xdr:col>
      <xdr:colOff>163183</xdr:colOff>
      <xdr:row>30</xdr:row>
      <xdr:rowOff>59996</xdr:rowOff>
    </xdr:to>
    <xdr:sp macro="" textlink="">
      <xdr:nvSpPr>
        <xdr:cNvPr id="12" name="Shape 47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8053611" y="5604099"/>
          <a:ext cx="158197" cy="170897"/>
        </a:xfrm>
        <a:prstGeom prst="ellipse">
          <a:avLst/>
        </a:prstGeom>
        <a:solidFill>
          <a:srgbClr val="A9D430"/>
        </a:solidFill>
        <a:ln>
          <a:noFill/>
        </a:ln>
      </xdr:spPr>
      <xdr:txBody>
        <a:bodyPr wrap="square" lIns="121900" tIns="121900" rIns="121900" bIns="121900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lvl="0">
            <a:spcBef>
              <a:spcPts val="0"/>
            </a:spcBef>
            <a:buNone/>
          </a:pPr>
          <a:endParaRPr sz="1867"/>
        </a:p>
      </xdr:txBody>
    </xdr:sp>
    <xdr:clientData/>
  </xdr:twoCellAnchor>
  <xdr:twoCellAnchor>
    <xdr:from>
      <xdr:col>4</xdr:col>
      <xdr:colOff>165623</xdr:colOff>
      <xdr:row>3</xdr:row>
      <xdr:rowOff>54709</xdr:rowOff>
    </xdr:from>
    <xdr:to>
      <xdr:col>4</xdr:col>
      <xdr:colOff>714263</xdr:colOff>
      <xdr:row>6</xdr:row>
      <xdr:rowOff>31849</xdr:rowOff>
    </xdr:to>
    <xdr:sp macro="" textlink="">
      <xdr:nvSpPr>
        <xdr:cNvPr id="13" name="Shape 61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3785123" y="626209"/>
          <a:ext cx="548640" cy="548640"/>
        </a:xfrm>
        <a:prstGeom prst="ellipse">
          <a:avLst/>
        </a:prstGeom>
        <a:solidFill>
          <a:srgbClr val="0284BA">
            <a:alpha val="78850"/>
          </a:srgbClr>
        </a:solidFill>
        <a:ln>
          <a:noFill/>
        </a:ln>
      </xdr:spPr>
      <xdr:txBody>
        <a:bodyPr wrap="square" lIns="121900" tIns="121900" rIns="121900" bIns="121900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lvl="0">
            <a:spcBef>
              <a:spcPts val="0"/>
            </a:spcBef>
            <a:buNone/>
          </a:pPr>
          <a:endParaRPr sz="1867"/>
        </a:p>
      </xdr:txBody>
    </xdr:sp>
    <xdr:clientData/>
  </xdr:twoCellAnchor>
  <xdr:twoCellAnchor>
    <xdr:from>
      <xdr:col>5</xdr:col>
      <xdr:colOff>22236</xdr:colOff>
      <xdr:row>32</xdr:row>
      <xdr:rowOff>56612</xdr:rowOff>
    </xdr:from>
    <xdr:to>
      <xdr:col>5</xdr:col>
      <xdr:colOff>387996</xdr:colOff>
      <xdr:row>34</xdr:row>
      <xdr:rowOff>41372</xdr:rowOff>
    </xdr:to>
    <xdr:sp macro="" textlink="">
      <xdr:nvSpPr>
        <xdr:cNvPr id="14" name="Shape 62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4527561" y="6152612"/>
          <a:ext cx="365760" cy="365760"/>
        </a:xfrm>
        <a:prstGeom prst="ellipse">
          <a:avLst/>
        </a:prstGeom>
        <a:solidFill>
          <a:srgbClr val="A9D430"/>
        </a:solidFill>
        <a:ln>
          <a:noFill/>
        </a:ln>
      </xdr:spPr>
      <xdr:txBody>
        <a:bodyPr wrap="square" lIns="121900" tIns="121900" rIns="121900" bIns="121900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lvl="0">
            <a:spcBef>
              <a:spcPts val="0"/>
            </a:spcBef>
            <a:buNone/>
          </a:pPr>
          <a:endParaRPr sz="1867"/>
        </a:p>
      </xdr:txBody>
    </xdr:sp>
    <xdr:clientData/>
  </xdr:twoCellAnchor>
  <xdr:twoCellAnchor>
    <xdr:from>
      <xdr:col>8</xdr:col>
      <xdr:colOff>1798</xdr:colOff>
      <xdr:row>29</xdr:row>
      <xdr:rowOff>79600</xdr:rowOff>
    </xdr:from>
    <xdr:to>
      <xdr:col>8</xdr:col>
      <xdr:colOff>733318</xdr:colOff>
      <xdr:row>33</xdr:row>
      <xdr:rowOff>49120</xdr:rowOff>
    </xdr:to>
    <xdr:sp macro="" textlink="">
      <xdr:nvSpPr>
        <xdr:cNvPr id="15" name="Shape 63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7164598" y="5604100"/>
          <a:ext cx="731520" cy="731520"/>
        </a:xfrm>
        <a:prstGeom prst="ellipse">
          <a:avLst/>
        </a:prstGeom>
        <a:solidFill>
          <a:srgbClr val="FC9817"/>
        </a:solidFill>
        <a:ln>
          <a:noFill/>
        </a:ln>
      </xdr:spPr>
      <xdr:txBody>
        <a:bodyPr wrap="square" lIns="121900" tIns="121900" rIns="121900" bIns="121900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defRPr sz="1867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lvl="0">
            <a:spcBef>
              <a:spcPts val="0"/>
            </a:spcBef>
            <a:buNone/>
          </a:pPr>
          <a:endParaRPr sz="1867"/>
        </a:p>
      </xdr:txBody>
    </xdr:sp>
    <xdr:clientData/>
  </xdr:twoCellAnchor>
  <xdr:twoCellAnchor>
    <xdr:from>
      <xdr:col>3</xdr:col>
      <xdr:colOff>881062</xdr:colOff>
      <xdr:row>10</xdr:row>
      <xdr:rowOff>142632</xdr:rowOff>
    </xdr:from>
    <xdr:to>
      <xdr:col>10</xdr:col>
      <xdr:colOff>726280</xdr:colOff>
      <xdr:row>21</xdr:row>
      <xdr:rowOff>140787</xdr:rowOff>
    </xdr:to>
    <xdr:sp macro="" textlink="">
      <xdr:nvSpPr>
        <xdr:cNvPr id="16" name="Shape 64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 txBox="1">
          <a:spLocks noGrp="1"/>
        </xdr:cNvSpPr>
      </xdr:nvSpPr>
      <xdr:spPr>
        <a:xfrm>
          <a:off x="3614737" y="2047632"/>
          <a:ext cx="6045993" cy="2093655"/>
        </a:xfrm>
        <a:prstGeom prst="rect">
          <a:avLst/>
        </a:prstGeom>
        <a:noFill/>
        <a:ln>
          <a:noFill/>
        </a:ln>
      </xdr:spPr>
      <xdr:txBody>
        <a:bodyPr wrap="square" lIns="91425" tIns="91425" rIns="91425" bIns="91425" anchor="ctr" anchorCtr="0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FFFFFF"/>
            </a:buClr>
            <a:buSzPct val="100000"/>
            <a:buFont typeface="Roboto Slab Light"/>
            <a:buNone/>
            <a:defRPr sz="2000" b="0" i="0" u="none" strike="noStrike" cap="none">
              <a:solidFill>
                <a:srgbClr val="FFFFFF"/>
              </a:solidFill>
              <a:latin typeface="Roboto Slab Light"/>
              <a:ea typeface="Roboto Slab Light"/>
              <a:cs typeface="Roboto Slab Light"/>
              <a:sym typeface="Roboto Slab Light"/>
            </a:defRPr>
          </a:lvl1pPr>
          <a:lvl2pPr lvl="1">
            <a:spcBef>
              <a:spcPts val="0"/>
            </a:spcBef>
            <a:buClr>
              <a:srgbClr val="FFFFFF"/>
            </a:buClr>
            <a:buSzPct val="100000"/>
            <a:buFont typeface="Roboto Slab Light"/>
            <a:buNone/>
            <a:defRPr sz="2000">
              <a:solidFill>
                <a:srgbClr val="FFFFFF"/>
              </a:solidFill>
              <a:latin typeface="Roboto Slab Light"/>
              <a:ea typeface="Roboto Slab Light"/>
              <a:cs typeface="Roboto Slab Light"/>
              <a:sym typeface="Roboto Slab Light"/>
            </a:defRPr>
          </a:lvl2pPr>
          <a:lvl3pPr lvl="2">
            <a:spcBef>
              <a:spcPts val="0"/>
            </a:spcBef>
            <a:buClr>
              <a:srgbClr val="FFFFFF"/>
            </a:buClr>
            <a:buSzPct val="100000"/>
            <a:buFont typeface="Roboto Slab Light"/>
            <a:buNone/>
            <a:defRPr sz="2000">
              <a:solidFill>
                <a:srgbClr val="FFFFFF"/>
              </a:solidFill>
              <a:latin typeface="Roboto Slab Light"/>
              <a:ea typeface="Roboto Slab Light"/>
              <a:cs typeface="Roboto Slab Light"/>
              <a:sym typeface="Roboto Slab Light"/>
            </a:defRPr>
          </a:lvl3pPr>
          <a:lvl4pPr lvl="3">
            <a:spcBef>
              <a:spcPts val="0"/>
            </a:spcBef>
            <a:buClr>
              <a:srgbClr val="FFFFFF"/>
            </a:buClr>
            <a:buSzPct val="100000"/>
            <a:buFont typeface="Roboto Slab Light"/>
            <a:buNone/>
            <a:defRPr sz="2000">
              <a:solidFill>
                <a:srgbClr val="FFFFFF"/>
              </a:solidFill>
              <a:latin typeface="Roboto Slab Light"/>
              <a:ea typeface="Roboto Slab Light"/>
              <a:cs typeface="Roboto Slab Light"/>
              <a:sym typeface="Roboto Slab Light"/>
            </a:defRPr>
          </a:lvl4pPr>
          <a:lvl5pPr lvl="4">
            <a:spcBef>
              <a:spcPts val="0"/>
            </a:spcBef>
            <a:buClr>
              <a:srgbClr val="FFFFFF"/>
            </a:buClr>
            <a:buSzPct val="100000"/>
            <a:buFont typeface="Roboto Slab Light"/>
            <a:buNone/>
            <a:defRPr sz="2000">
              <a:solidFill>
                <a:srgbClr val="FFFFFF"/>
              </a:solidFill>
              <a:latin typeface="Roboto Slab Light"/>
              <a:ea typeface="Roboto Slab Light"/>
              <a:cs typeface="Roboto Slab Light"/>
              <a:sym typeface="Roboto Slab Light"/>
            </a:defRPr>
          </a:lvl5pPr>
          <a:lvl6pPr lvl="5">
            <a:spcBef>
              <a:spcPts val="0"/>
            </a:spcBef>
            <a:buClr>
              <a:srgbClr val="FFFFFF"/>
            </a:buClr>
            <a:buSzPct val="100000"/>
            <a:buFont typeface="Roboto Slab Light"/>
            <a:buNone/>
            <a:defRPr sz="2000">
              <a:solidFill>
                <a:srgbClr val="FFFFFF"/>
              </a:solidFill>
              <a:latin typeface="Roboto Slab Light"/>
              <a:ea typeface="Roboto Slab Light"/>
              <a:cs typeface="Roboto Slab Light"/>
              <a:sym typeface="Roboto Slab Light"/>
            </a:defRPr>
          </a:lvl6pPr>
          <a:lvl7pPr lvl="6">
            <a:spcBef>
              <a:spcPts val="0"/>
            </a:spcBef>
            <a:buClr>
              <a:srgbClr val="FFFFFF"/>
            </a:buClr>
            <a:buSzPct val="100000"/>
            <a:buFont typeface="Roboto Slab Light"/>
            <a:buNone/>
            <a:defRPr sz="2000">
              <a:solidFill>
                <a:srgbClr val="FFFFFF"/>
              </a:solidFill>
              <a:latin typeface="Roboto Slab Light"/>
              <a:ea typeface="Roboto Slab Light"/>
              <a:cs typeface="Roboto Slab Light"/>
              <a:sym typeface="Roboto Slab Light"/>
            </a:defRPr>
          </a:lvl7pPr>
          <a:lvl8pPr lvl="7">
            <a:spcBef>
              <a:spcPts val="0"/>
            </a:spcBef>
            <a:buClr>
              <a:srgbClr val="FFFFFF"/>
            </a:buClr>
            <a:buSzPct val="100000"/>
            <a:buFont typeface="Roboto Slab Light"/>
            <a:buNone/>
            <a:defRPr sz="2000">
              <a:solidFill>
                <a:srgbClr val="FFFFFF"/>
              </a:solidFill>
              <a:latin typeface="Roboto Slab Light"/>
              <a:ea typeface="Roboto Slab Light"/>
              <a:cs typeface="Roboto Slab Light"/>
              <a:sym typeface="Roboto Slab Light"/>
            </a:defRPr>
          </a:lvl8pPr>
          <a:lvl9pPr lvl="8">
            <a:spcBef>
              <a:spcPts val="0"/>
            </a:spcBef>
            <a:buClr>
              <a:srgbClr val="FFFFFF"/>
            </a:buClr>
            <a:buSzPct val="100000"/>
            <a:buFont typeface="Roboto Slab Light"/>
            <a:buNone/>
            <a:defRPr sz="2000">
              <a:solidFill>
                <a:srgbClr val="FFFFFF"/>
              </a:solidFill>
              <a:latin typeface="Roboto Slab Light"/>
              <a:ea typeface="Roboto Slab Light"/>
              <a:cs typeface="Roboto Slab Light"/>
              <a:sym typeface="Roboto Slab Light"/>
            </a:defRPr>
          </a:lvl9pPr>
        </a:lstStyle>
        <a:p>
          <a:pPr algn="ctr"/>
          <a:r>
            <a:rPr lang="en-US" sz="4000" b="1">
              <a:solidFill>
                <a:srgbClr val="C00000"/>
              </a:solidFill>
              <a:latin typeface="Tw Cen MT" panose="020B0602020104020603" pitchFamily="34" charset="0"/>
            </a:rPr>
            <a:t>Marketing Analytics </a:t>
          </a:r>
          <a:endParaRPr sz="4000" b="1">
            <a:solidFill>
              <a:srgbClr val="C00000"/>
            </a:solidFill>
            <a:latin typeface="Tw Cen MT" panose="020B0602020104020603" pitchFamily="34" charset="0"/>
          </a:endParaRPr>
        </a:p>
      </xdr:txBody>
    </xdr:sp>
    <xdr:clientData/>
  </xdr:twoCellAnchor>
  <xdr:twoCellAnchor>
    <xdr:from>
      <xdr:col>4</xdr:col>
      <xdr:colOff>35717</xdr:colOff>
      <xdr:row>19</xdr:row>
      <xdr:rowOff>55312</xdr:rowOff>
    </xdr:from>
    <xdr:to>
      <xdr:col>10</xdr:col>
      <xdr:colOff>773905</xdr:colOff>
      <xdr:row>26</xdr:row>
      <xdr:rowOff>132892</xdr:rowOff>
    </xdr:to>
    <xdr:sp macro="" textlink="">
      <xdr:nvSpPr>
        <xdr:cNvPr id="17" name="Shape 65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 txBox="1">
          <a:spLocks noGrp="1"/>
        </xdr:cNvSpPr>
      </xdr:nvSpPr>
      <xdr:spPr>
        <a:xfrm>
          <a:off x="3643311" y="3674812"/>
          <a:ext cx="6024563" cy="1411080"/>
        </a:xfrm>
        <a:prstGeom prst="rect">
          <a:avLst/>
        </a:prstGeom>
        <a:noFill/>
        <a:ln>
          <a:noFill/>
        </a:ln>
      </xdr:spPr>
      <xdr:txBody>
        <a:bodyPr wrap="square" lIns="91425" tIns="91425" rIns="91425" bIns="91425" anchor="t" anchorCtr="0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600"/>
            </a:spcBef>
            <a:spcAft>
              <a:spcPts val="1000"/>
            </a:spcAft>
            <a:buClr>
              <a:srgbClr val="A6BCC9"/>
            </a:buClr>
            <a:buSzPct val="100000"/>
            <a:buFont typeface="Lato Light"/>
            <a:buChar char="○"/>
            <a:defRPr sz="2000" b="0" i="0" u="none" strike="noStrike" cap="none">
              <a:solidFill>
                <a:srgbClr val="4A5C65"/>
              </a:solidFill>
              <a:latin typeface="Lato Light"/>
              <a:ea typeface="Lato Light"/>
              <a:cs typeface="Lato Light"/>
              <a:sym typeface="Lato Light"/>
            </a:defRPr>
          </a:lvl1pPr>
          <a:lvl2pPr marR="0" lvl="1" algn="l" rtl="0">
            <a:lnSpc>
              <a:spcPct val="100000"/>
            </a:lnSpc>
            <a:spcBef>
              <a:spcPts val="480"/>
            </a:spcBef>
            <a:spcAft>
              <a:spcPts val="1000"/>
            </a:spcAft>
            <a:buClr>
              <a:srgbClr val="A6BCC9"/>
            </a:buClr>
            <a:buSzPct val="100000"/>
            <a:buFont typeface="Lato Light"/>
            <a:buChar char="◦"/>
            <a:defRPr sz="2000" b="0" i="0" u="none" strike="noStrike" cap="none">
              <a:solidFill>
                <a:srgbClr val="4A5C65"/>
              </a:solidFill>
              <a:latin typeface="Lato Light"/>
              <a:ea typeface="Lato Light"/>
              <a:cs typeface="Lato Light"/>
              <a:sym typeface="Lato Light"/>
            </a:defRPr>
          </a:lvl2pPr>
          <a:lvl3pPr marR="0" lvl="2" algn="l" rtl="0">
            <a:lnSpc>
              <a:spcPct val="100000"/>
            </a:lnSpc>
            <a:spcBef>
              <a:spcPts val="480"/>
            </a:spcBef>
            <a:spcAft>
              <a:spcPts val="1000"/>
            </a:spcAft>
            <a:buClr>
              <a:srgbClr val="A6BCC9"/>
            </a:buClr>
            <a:buSzPct val="100000"/>
            <a:buFont typeface="Lato Light"/>
            <a:buChar char="◦"/>
            <a:defRPr sz="2000" b="0" i="0" u="none" strike="noStrike" cap="none">
              <a:solidFill>
                <a:srgbClr val="4A5C65"/>
              </a:solidFill>
              <a:latin typeface="Lato Light"/>
              <a:ea typeface="Lato Light"/>
              <a:cs typeface="Lato Light"/>
              <a:sym typeface="Lato Light"/>
            </a:defRPr>
          </a:lvl3pPr>
          <a:lvl4pPr marR="0" lvl="3" algn="l" rtl="0">
            <a:lnSpc>
              <a:spcPct val="100000"/>
            </a:lnSpc>
            <a:spcBef>
              <a:spcPts val="360"/>
            </a:spcBef>
            <a:spcAft>
              <a:spcPts val="1000"/>
            </a:spcAft>
            <a:buClr>
              <a:srgbClr val="A6BCC9"/>
            </a:buClr>
            <a:buSzPct val="100000"/>
            <a:buFont typeface="Lato Light"/>
            <a:buChar char="◦"/>
            <a:defRPr sz="2000" b="0" i="0" u="none" strike="noStrike" cap="none">
              <a:solidFill>
                <a:srgbClr val="4A5C65"/>
              </a:solidFill>
              <a:latin typeface="Lato Light"/>
              <a:ea typeface="Lato Light"/>
              <a:cs typeface="Lato Light"/>
              <a:sym typeface="Lato Light"/>
            </a:defRPr>
          </a:lvl4pPr>
          <a:lvl5pPr marR="0" lvl="4" algn="l" rtl="0">
            <a:lnSpc>
              <a:spcPct val="100000"/>
            </a:lnSpc>
            <a:spcBef>
              <a:spcPts val="360"/>
            </a:spcBef>
            <a:spcAft>
              <a:spcPts val="1000"/>
            </a:spcAft>
            <a:buClr>
              <a:srgbClr val="A6BCC9"/>
            </a:buClr>
            <a:buSzPct val="100000"/>
            <a:buFont typeface="Lato Light"/>
            <a:buChar char="◦"/>
            <a:defRPr sz="2000" b="0" i="0" u="none" strike="noStrike" cap="none">
              <a:solidFill>
                <a:srgbClr val="4A5C65"/>
              </a:solidFill>
              <a:latin typeface="Lato Light"/>
              <a:ea typeface="Lato Light"/>
              <a:cs typeface="Lato Light"/>
              <a:sym typeface="Lato Light"/>
            </a:defRPr>
          </a:lvl5pPr>
          <a:lvl6pPr marR="0" lvl="5" algn="l" rtl="0">
            <a:lnSpc>
              <a:spcPct val="100000"/>
            </a:lnSpc>
            <a:spcBef>
              <a:spcPts val="360"/>
            </a:spcBef>
            <a:spcAft>
              <a:spcPts val="1000"/>
            </a:spcAft>
            <a:buClr>
              <a:srgbClr val="A6BCC9"/>
            </a:buClr>
            <a:buSzPct val="100000"/>
            <a:buFont typeface="Lato Light"/>
            <a:buChar char="◦"/>
            <a:defRPr sz="2000" b="0" i="0" u="none" strike="noStrike" cap="none">
              <a:solidFill>
                <a:srgbClr val="4A5C65"/>
              </a:solidFill>
              <a:latin typeface="Lato Light"/>
              <a:ea typeface="Lato Light"/>
              <a:cs typeface="Lato Light"/>
              <a:sym typeface="Lato Light"/>
            </a:defRPr>
          </a:lvl6pPr>
          <a:lvl7pPr marR="0" lvl="6" algn="l" rtl="0">
            <a:lnSpc>
              <a:spcPct val="100000"/>
            </a:lnSpc>
            <a:spcBef>
              <a:spcPts val="360"/>
            </a:spcBef>
            <a:spcAft>
              <a:spcPts val="1000"/>
            </a:spcAft>
            <a:buClr>
              <a:srgbClr val="A6BCC9"/>
            </a:buClr>
            <a:buSzPct val="100000"/>
            <a:buFont typeface="Lato Light"/>
            <a:buChar char="◦"/>
            <a:defRPr sz="2000" b="0" i="0" u="none" strike="noStrike" cap="none">
              <a:solidFill>
                <a:srgbClr val="4A5C65"/>
              </a:solidFill>
              <a:latin typeface="Lato Light"/>
              <a:ea typeface="Lato Light"/>
              <a:cs typeface="Lato Light"/>
              <a:sym typeface="Lato Light"/>
            </a:defRPr>
          </a:lvl7pPr>
          <a:lvl8pPr marR="0" lvl="7" algn="l" rtl="0">
            <a:lnSpc>
              <a:spcPct val="100000"/>
            </a:lnSpc>
            <a:spcBef>
              <a:spcPts val="360"/>
            </a:spcBef>
            <a:spcAft>
              <a:spcPts val="1000"/>
            </a:spcAft>
            <a:buClr>
              <a:srgbClr val="A6BCC9"/>
            </a:buClr>
            <a:buSzPct val="100000"/>
            <a:buFont typeface="Lato Light"/>
            <a:buChar char="◦"/>
            <a:defRPr sz="2000" b="0" i="0" u="none" strike="noStrike" cap="none">
              <a:solidFill>
                <a:srgbClr val="4A5C65"/>
              </a:solidFill>
              <a:latin typeface="Lato Light"/>
              <a:ea typeface="Lato Light"/>
              <a:cs typeface="Lato Light"/>
              <a:sym typeface="Lato Light"/>
            </a:defRPr>
          </a:lvl8pPr>
          <a:lvl9pPr marR="0" lvl="8" algn="l" rtl="0">
            <a:lnSpc>
              <a:spcPct val="100000"/>
            </a:lnSpc>
            <a:spcBef>
              <a:spcPts val="360"/>
            </a:spcBef>
            <a:spcAft>
              <a:spcPts val="1000"/>
            </a:spcAft>
            <a:buClr>
              <a:srgbClr val="A6BCC9"/>
            </a:buClr>
            <a:buSzPct val="100000"/>
            <a:buFont typeface="Lato Light"/>
            <a:buChar char="◦"/>
            <a:defRPr sz="2000" b="0" i="0" u="none" strike="noStrike" cap="none">
              <a:solidFill>
                <a:srgbClr val="4A5C65"/>
              </a:solidFill>
              <a:latin typeface="Lato Light"/>
              <a:ea typeface="Lato Light"/>
              <a:cs typeface="Lato Light"/>
              <a:sym typeface="Lato Light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600"/>
            </a:spcBef>
            <a:spcAft>
              <a:spcPts val="1000"/>
            </a:spcAft>
            <a:buClr>
              <a:srgbClr val="A6BCC9"/>
            </a:buClr>
            <a:buSzPct val="100000"/>
            <a:buFont typeface="Lato Light"/>
            <a:buNone/>
            <a:tabLst/>
            <a:defRPr/>
          </a:pPr>
          <a:r>
            <a:rPr lang="en-US" sz="2000">
              <a:solidFill>
                <a:srgbClr val="FC9817"/>
              </a:solidFill>
            </a:rPr>
            <a:t>Asad</a:t>
          </a:r>
          <a:r>
            <a:rPr lang="en-US" sz="2000" baseline="0">
              <a:solidFill>
                <a:srgbClr val="FC9817"/>
              </a:solidFill>
            </a:rPr>
            <a:t> Raza</a:t>
          </a:r>
          <a:endParaRPr sz="2000">
            <a:solidFill>
              <a:srgbClr val="FC9817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20</xdr:row>
      <xdr:rowOff>104775</xdr:rowOff>
    </xdr:from>
    <xdr:to>
      <xdr:col>3</xdr:col>
      <xdr:colOff>550545</xdr:colOff>
      <xdr:row>23</xdr:row>
      <xdr:rowOff>81915</xdr:rowOff>
    </xdr:to>
    <xdr:sp macro="[0]!InterestingFact1" textlink="">
      <xdr:nvSpPr>
        <xdr:cNvPr id="4" name="Rectangle: Rounded Corners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>
        <a:xfrm>
          <a:off x="504825" y="3676650"/>
          <a:ext cx="1188720" cy="548640"/>
        </a:xfrm>
        <a:prstGeom prst="roundRect">
          <a:avLst/>
        </a:prstGeom>
        <a:solidFill>
          <a:srgbClr val="0284BA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Cool</a:t>
          </a:r>
          <a:r>
            <a:rPr lang="en-US" sz="1200" b="1" baseline="0"/>
            <a:t> fact #1</a:t>
          </a:r>
          <a:endParaRPr lang="en-US" sz="12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120650</xdr:colOff>
      <xdr:row>2</xdr:row>
      <xdr:rowOff>196850</xdr:rowOff>
    </xdr:from>
    <xdr:to>
      <xdr:col>13</xdr:col>
      <xdr:colOff>228600</xdr:colOff>
      <xdr:row>22</xdr:row>
      <xdr:rowOff>6350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31</xdr:row>
      <xdr:rowOff>85725</xdr:rowOff>
    </xdr:from>
    <xdr:to>
      <xdr:col>2</xdr:col>
      <xdr:colOff>1398270</xdr:colOff>
      <xdr:row>34</xdr:row>
      <xdr:rowOff>62865</xdr:rowOff>
    </xdr:to>
    <xdr:sp macro="[0]!InterestingFact2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504825" y="5762625"/>
          <a:ext cx="1188720" cy="548640"/>
        </a:xfrm>
        <a:prstGeom prst="roundRect">
          <a:avLst/>
        </a:prstGeom>
        <a:solidFill>
          <a:srgbClr val="0284BA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Cool</a:t>
          </a:r>
          <a:r>
            <a:rPr lang="en-US" sz="1200" b="1" baseline="0"/>
            <a:t> fact #2</a:t>
          </a:r>
          <a:endParaRPr lang="en-US" sz="12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146050</xdr:rowOff>
    </xdr:from>
    <xdr:to>
      <xdr:col>7</xdr:col>
      <xdr:colOff>19050</xdr:colOff>
      <xdr:row>20</xdr:row>
      <xdr:rowOff>127479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</xdr:colOff>
      <xdr:row>5</xdr:row>
      <xdr:rowOff>127000</xdr:rowOff>
    </xdr:from>
    <xdr:to>
      <xdr:col>15</xdr:col>
      <xdr:colOff>19051</xdr:colOff>
      <xdr:row>20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21</xdr:row>
      <xdr:rowOff>107109</xdr:rowOff>
    </xdr:from>
    <xdr:to>
      <xdr:col>7</xdr:col>
      <xdr:colOff>22952</xdr:colOff>
      <xdr:row>36</xdr:row>
      <xdr:rowOff>96092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21</xdr:row>
      <xdr:rowOff>99458</xdr:rowOff>
    </xdr:from>
    <xdr:to>
      <xdr:col>15</xdr:col>
      <xdr:colOff>45904</xdr:colOff>
      <xdr:row>36</xdr:row>
      <xdr:rowOff>88441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C/Documents/Lecture%20Marketing%20Analytic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PPC Data"/>
      <sheetName val="1.1 PPC Analyis"/>
      <sheetName val="Lead Data"/>
      <sheetName val="Survey Data"/>
      <sheetName val="1.2 Customer Analysis"/>
      <sheetName val="1.3 NPS"/>
      <sheetName val="1.4 Survey Analysis"/>
      <sheetName val="1.5 Ad Channel Data"/>
      <sheetName val="1.5 Projections"/>
      <sheetName val="Dashboa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6">
          <cell r="J6">
            <v>2.066532258064516E-2</v>
          </cell>
        </row>
        <row r="7">
          <cell r="J7">
            <v>3.7175792507204611E-2</v>
          </cell>
        </row>
        <row r="8">
          <cell r="J8">
            <v>3.5000000000000003E-2</v>
          </cell>
        </row>
        <row r="9">
          <cell r="J9">
            <v>8.0000000000000002E-3</v>
          </cell>
        </row>
      </sheetData>
      <sheetData sheetId="9" refreshError="1"/>
      <sheetData sheetId="1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alconsoft" refreshedDate="44562.815420833336" createdVersion="3" refreshedVersion="3" minRefreshableVersion="3" recordCount="192">
  <cacheSource type="worksheet">
    <worksheetSource ref="B5:H197" sheet="Survey Data"/>
  </cacheSource>
  <cacheFields count="7">
    <cacheField name="Lead Source" numFmtId="0">
      <sharedItems count="2">
        <s v="AdWords"/>
        <s v="Facebook"/>
      </sharedItems>
    </cacheField>
    <cacheField name="Age" numFmtId="0">
      <sharedItems containsSemiMixedTypes="0" containsString="0" containsNumber="1" containsInteger="1" minValue="21" maxValue="65"/>
    </cacheField>
    <cacheField name="age groups" numFmtId="0">
      <sharedItems/>
    </cacheField>
    <cacheField name="How likely is it that you would recommend this company to a friend or colleague?" numFmtId="0">
      <sharedItems containsSemiMixedTypes="0" containsString="0" containsNumber="1" containsInteger="1" minValue="0" maxValue="10" count="11">
        <n v="10"/>
        <n v="9"/>
        <n v="6"/>
        <n v="5"/>
        <n v="7"/>
        <n v="2"/>
        <n v="4"/>
        <n v="8"/>
        <n v="1"/>
        <n v="0"/>
        <n v="3"/>
      </sharedItems>
    </cacheField>
    <cacheField name="How did you first hear about this product?" numFmtId="0">
      <sharedItems count="6">
        <s v="Article"/>
        <s v="Conference"/>
        <s v="Friend, family, or colleague"/>
        <s v="Web search"/>
        <s v="Online Ad"/>
        <s v="Other"/>
      </sharedItems>
    </cacheField>
    <cacheField name="How likely are you to buy another product from us?" numFmtId="0">
      <sharedItems count="5">
        <s v="Likely"/>
        <s v="Not likely"/>
        <s v="Not sure"/>
        <s v="Very likely"/>
        <s v="Never again"/>
      </sharedItems>
    </cacheField>
    <cacheField name="If you are not likely to buy another product, what's the main reason?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2">
  <r>
    <x v="0"/>
    <n v="22"/>
    <s v="18-25"/>
    <x v="0"/>
    <x v="0"/>
    <x v="0"/>
    <m/>
  </r>
  <r>
    <x v="0"/>
    <n v="22"/>
    <s v="18-25"/>
    <x v="1"/>
    <x v="0"/>
    <x v="0"/>
    <m/>
  </r>
  <r>
    <x v="0"/>
    <n v="21"/>
    <s v="18-25"/>
    <x v="2"/>
    <x v="0"/>
    <x v="1"/>
    <s v="Too expensive"/>
  </r>
  <r>
    <x v="0"/>
    <n v="25"/>
    <s v="18-25"/>
    <x v="3"/>
    <x v="0"/>
    <x v="1"/>
    <s v="Don’t need any more"/>
  </r>
  <r>
    <x v="0"/>
    <n v="22"/>
    <s v="18-25"/>
    <x v="0"/>
    <x v="0"/>
    <x v="2"/>
    <m/>
  </r>
  <r>
    <x v="0"/>
    <n v="24"/>
    <s v="18-25"/>
    <x v="2"/>
    <x v="0"/>
    <x v="3"/>
    <m/>
  </r>
  <r>
    <x v="0"/>
    <n v="23"/>
    <s v="18-25"/>
    <x v="1"/>
    <x v="1"/>
    <x v="1"/>
    <s v="Don’t need any more"/>
  </r>
  <r>
    <x v="0"/>
    <n v="24"/>
    <s v="18-25"/>
    <x v="2"/>
    <x v="1"/>
    <x v="1"/>
    <s v="Didn't meet expectations"/>
  </r>
  <r>
    <x v="0"/>
    <n v="25"/>
    <s v="18-25"/>
    <x v="2"/>
    <x v="1"/>
    <x v="2"/>
    <m/>
  </r>
  <r>
    <x v="0"/>
    <n v="21"/>
    <s v="18-25"/>
    <x v="0"/>
    <x v="2"/>
    <x v="0"/>
    <m/>
  </r>
  <r>
    <x v="0"/>
    <n v="23"/>
    <s v="18-25"/>
    <x v="0"/>
    <x v="2"/>
    <x v="0"/>
    <m/>
  </r>
  <r>
    <x v="0"/>
    <n v="21"/>
    <s v="18-25"/>
    <x v="1"/>
    <x v="2"/>
    <x v="0"/>
    <m/>
  </r>
  <r>
    <x v="0"/>
    <n v="21"/>
    <s v="18-25"/>
    <x v="1"/>
    <x v="3"/>
    <x v="3"/>
    <m/>
  </r>
  <r>
    <x v="0"/>
    <n v="23"/>
    <s v="18-25"/>
    <x v="1"/>
    <x v="3"/>
    <x v="3"/>
    <m/>
  </r>
  <r>
    <x v="0"/>
    <n v="21"/>
    <s v="18-25"/>
    <x v="0"/>
    <x v="4"/>
    <x v="1"/>
    <s v="Don’t need any more"/>
  </r>
  <r>
    <x v="0"/>
    <n v="25"/>
    <s v="18-25"/>
    <x v="1"/>
    <x v="4"/>
    <x v="2"/>
    <m/>
  </r>
  <r>
    <x v="0"/>
    <n v="22"/>
    <s v="18-25"/>
    <x v="1"/>
    <x v="5"/>
    <x v="0"/>
    <m/>
  </r>
  <r>
    <x v="0"/>
    <n v="21"/>
    <s v="18-25"/>
    <x v="1"/>
    <x v="3"/>
    <x v="2"/>
    <m/>
  </r>
  <r>
    <x v="0"/>
    <n v="23"/>
    <s v="18-25"/>
    <x v="1"/>
    <x v="3"/>
    <x v="2"/>
    <m/>
  </r>
  <r>
    <x v="0"/>
    <n v="21"/>
    <s v="18-25"/>
    <x v="0"/>
    <x v="3"/>
    <x v="3"/>
    <m/>
  </r>
  <r>
    <x v="0"/>
    <n v="33"/>
    <s v="26-35"/>
    <x v="1"/>
    <x v="3"/>
    <x v="0"/>
    <m/>
  </r>
  <r>
    <x v="0"/>
    <n v="35"/>
    <s v="26-35"/>
    <x v="4"/>
    <x v="3"/>
    <x v="0"/>
    <m/>
  </r>
  <r>
    <x v="0"/>
    <n v="27"/>
    <s v="26-35"/>
    <x v="4"/>
    <x v="0"/>
    <x v="4"/>
    <s v="Other"/>
  </r>
  <r>
    <x v="0"/>
    <n v="26"/>
    <s v="26-35"/>
    <x v="5"/>
    <x v="0"/>
    <x v="1"/>
    <s v="Other"/>
  </r>
  <r>
    <x v="0"/>
    <n v="26"/>
    <s v="26-35"/>
    <x v="1"/>
    <x v="0"/>
    <x v="2"/>
    <m/>
  </r>
  <r>
    <x v="0"/>
    <n v="29"/>
    <s v="26-35"/>
    <x v="1"/>
    <x v="0"/>
    <x v="3"/>
    <m/>
  </r>
  <r>
    <x v="0"/>
    <n v="29"/>
    <s v="26-35"/>
    <x v="1"/>
    <x v="1"/>
    <x v="1"/>
    <s v="Don’t need any more"/>
  </r>
  <r>
    <x v="0"/>
    <n v="27"/>
    <s v="26-35"/>
    <x v="4"/>
    <x v="1"/>
    <x v="2"/>
    <m/>
  </r>
  <r>
    <x v="0"/>
    <n v="31"/>
    <s v="26-35"/>
    <x v="0"/>
    <x v="1"/>
    <x v="3"/>
    <m/>
  </r>
  <r>
    <x v="0"/>
    <n v="26"/>
    <s v="26-35"/>
    <x v="1"/>
    <x v="1"/>
    <x v="3"/>
    <m/>
  </r>
  <r>
    <x v="0"/>
    <n v="28"/>
    <s v="26-35"/>
    <x v="0"/>
    <x v="2"/>
    <x v="0"/>
    <m/>
  </r>
  <r>
    <x v="0"/>
    <n v="29"/>
    <s v="26-35"/>
    <x v="1"/>
    <x v="2"/>
    <x v="0"/>
    <m/>
  </r>
  <r>
    <x v="0"/>
    <n v="33"/>
    <s v="26-35"/>
    <x v="1"/>
    <x v="2"/>
    <x v="0"/>
    <m/>
  </r>
  <r>
    <x v="0"/>
    <n v="28"/>
    <s v="26-35"/>
    <x v="4"/>
    <x v="2"/>
    <x v="0"/>
    <m/>
  </r>
  <r>
    <x v="0"/>
    <n v="30"/>
    <s v="26-35"/>
    <x v="6"/>
    <x v="2"/>
    <x v="1"/>
    <s v="Low quality"/>
  </r>
  <r>
    <x v="0"/>
    <n v="29"/>
    <s v="26-35"/>
    <x v="0"/>
    <x v="4"/>
    <x v="0"/>
    <m/>
  </r>
  <r>
    <x v="0"/>
    <n v="29"/>
    <s v="26-35"/>
    <x v="1"/>
    <x v="4"/>
    <x v="0"/>
    <m/>
  </r>
  <r>
    <x v="0"/>
    <n v="26"/>
    <s v="26-35"/>
    <x v="1"/>
    <x v="4"/>
    <x v="2"/>
    <m/>
  </r>
  <r>
    <x v="0"/>
    <n v="29"/>
    <s v="26-35"/>
    <x v="2"/>
    <x v="4"/>
    <x v="2"/>
    <m/>
  </r>
  <r>
    <x v="0"/>
    <n v="35"/>
    <s v="26-35"/>
    <x v="6"/>
    <x v="4"/>
    <x v="2"/>
    <m/>
  </r>
  <r>
    <x v="0"/>
    <n v="33"/>
    <s v="26-35"/>
    <x v="7"/>
    <x v="4"/>
    <x v="3"/>
    <m/>
  </r>
  <r>
    <x v="0"/>
    <n v="31"/>
    <s v="26-35"/>
    <x v="1"/>
    <x v="5"/>
    <x v="0"/>
    <m/>
  </r>
  <r>
    <x v="0"/>
    <n v="26"/>
    <s v="26-35"/>
    <x v="2"/>
    <x v="5"/>
    <x v="0"/>
    <m/>
  </r>
  <r>
    <x v="0"/>
    <n v="27"/>
    <s v="26-35"/>
    <x v="1"/>
    <x v="5"/>
    <x v="1"/>
    <s v="Don’t need any more"/>
  </r>
  <r>
    <x v="0"/>
    <n v="26"/>
    <s v="26-35"/>
    <x v="7"/>
    <x v="5"/>
    <x v="3"/>
    <m/>
  </r>
  <r>
    <x v="0"/>
    <n v="27"/>
    <s v="26-35"/>
    <x v="0"/>
    <x v="3"/>
    <x v="0"/>
    <m/>
  </r>
  <r>
    <x v="0"/>
    <n v="31"/>
    <s v="26-35"/>
    <x v="0"/>
    <x v="3"/>
    <x v="0"/>
    <m/>
  </r>
  <r>
    <x v="0"/>
    <n v="33"/>
    <s v="26-35"/>
    <x v="0"/>
    <x v="3"/>
    <x v="0"/>
    <m/>
  </r>
  <r>
    <x v="0"/>
    <n v="27"/>
    <s v="26-35"/>
    <x v="4"/>
    <x v="3"/>
    <x v="0"/>
    <m/>
  </r>
  <r>
    <x v="0"/>
    <n v="34"/>
    <s v="26-35"/>
    <x v="2"/>
    <x v="3"/>
    <x v="2"/>
    <m/>
  </r>
  <r>
    <x v="0"/>
    <n v="29"/>
    <s v="26-35"/>
    <x v="1"/>
    <x v="3"/>
    <x v="3"/>
    <m/>
  </r>
  <r>
    <x v="0"/>
    <n v="29"/>
    <s v="26-35"/>
    <x v="1"/>
    <x v="3"/>
    <x v="3"/>
    <m/>
  </r>
  <r>
    <x v="0"/>
    <n v="28"/>
    <s v="26-35"/>
    <x v="7"/>
    <x v="3"/>
    <x v="3"/>
    <m/>
  </r>
  <r>
    <x v="0"/>
    <n v="42"/>
    <s v="36-45"/>
    <x v="0"/>
    <x v="0"/>
    <x v="0"/>
    <m/>
  </r>
  <r>
    <x v="0"/>
    <n v="43"/>
    <s v="36-45"/>
    <x v="0"/>
    <x v="1"/>
    <x v="0"/>
    <m/>
  </r>
  <r>
    <x v="0"/>
    <n v="43"/>
    <s v="36-45"/>
    <x v="4"/>
    <x v="1"/>
    <x v="4"/>
    <s v="Didn't meet expectations"/>
  </r>
  <r>
    <x v="0"/>
    <n v="44"/>
    <s v="36-45"/>
    <x v="0"/>
    <x v="1"/>
    <x v="1"/>
    <s v="Don’t need any more"/>
  </r>
  <r>
    <x v="0"/>
    <n v="40"/>
    <s v="36-45"/>
    <x v="4"/>
    <x v="1"/>
    <x v="3"/>
    <m/>
  </r>
  <r>
    <x v="0"/>
    <n v="40"/>
    <s v="36-45"/>
    <x v="0"/>
    <x v="2"/>
    <x v="3"/>
    <m/>
  </r>
  <r>
    <x v="0"/>
    <n v="42"/>
    <s v="36-45"/>
    <x v="1"/>
    <x v="2"/>
    <x v="3"/>
    <m/>
  </r>
  <r>
    <x v="0"/>
    <n v="45"/>
    <s v="36-45"/>
    <x v="1"/>
    <x v="2"/>
    <x v="3"/>
    <m/>
  </r>
  <r>
    <x v="0"/>
    <n v="41"/>
    <s v="36-45"/>
    <x v="4"/>
    <x v="4"/>
    <x v="0"/>
    <m/>
  </r>
  <r>
    <x v="0"/>
    <n v="42"/>
    <s v="36-45"/>
    <x v="4"/>
    <x v="4"/>
    <x v="2"/>
    <m/>
  </r>
  <r>
    <x v="0"/>
    <n v="39"/>
    <s v="36-45"/>
    <x v="3"/>
    <x v="4"/>
    <x v="2"/>
    <m/>
  </r>
  <r>
    <x v="0"/>
    <n v="38"/>
    <s v="36-45"/>
    <x v="0"/>
    <x v="3"/>
    <x v="0"/>
    <m/>
  </r>
  <r>
    <x v="0"/>
    <n v="37"/>
    <s v="36-45"/>
    <x v="1"/>
    <x v="3"/>
    <x v="0"/>
    <m/>
  </r>
  <r>
    <x v="0"/>
    <n v="37"/>
    <s v="36-45"/>
    <x v="1"/>
    <x v="3"/>
    <x v="0"/>
    <m/>
  </r>
  <r>
    <x v="0"/>
    <n v="39"/>
    <s v="36-45"/>
    <x v="3"/>
    <x v="3"/>
    <x v="4"/>
    <s v="Too expensive"/>
  </r>
  <r>
    <x v="0"/>
    <n v="38"/>
    <s v="36-45"/>
    <x v="0"/>
    <x v="3"/>
    <x v="2"/>
    <m/>
  </r>
  <r>
    <x v="0"/>
    <n v="53"/>
    <s v="46-55"/>
    <x v="0"/>
    <x v="0"/>
    <x v="0"/>
    <m/>
  </r>
  <r>
    <x v="0"/>
    <n v="49"/>
    <s v="46-55"/>
    <x v="1"/>
    <x v="0"/>
    <x v="0"/>
    <m/>
  </r>
  <r>
    <x v="0"/>
    <n v="54"/>
    <s v="46-55"/>
    <x v="8"/>
    <x v="0"/>
    <x v="1"/>
    <m/>
  </r>
  <r>
    <x v="0"/>
    <n v="50"/>
    <s v="46-55"/>
    <x v="1"/>
    <x v="1"/>
    <x v="0"/>
    <m/>
  </r>
  <r>
    <x v="0"/>
    <n v="46"/>
    <s v="46-55"/>
    <x v="4"/>
    <x v="1"/>
    <x v="0"/>
    <m/>
  </r>
  <r>
    <x v="0"/>
    <n v="49"/>
    <s v="46-55"/>
    <x v="1"/>
    <x v="2"/>
    <x v="0"/>
    <m/>
  </r>
  <r>
    <x v="0"/>
    <n v="50"/>
    <s v="46-55"/>
    <x v="1"/>
    <x v="2"/>
    <x v="2"/>
    <m/>
  </r>
  <r>
    <x v="0"/>
    <n v="53"/>
    <s v="46-55"/>
    <x v="4"/>
    <x v="2"/>
    <x v="3"/>
    <m/>
  </r>
  <r>
    <x v="0"/>
    <n v="47"/>
    <s v="46-55"/>
    <x v="4"/>
    <x v="4"/>
    <x v="2"/>
    <m/>
  </r>
  <r>
    <x v="0"/>
    <n v="51"/>
    <s v="46-55"/>
    <x v="7"/>
    <x v="5"/>
    <x v="3"/>
    <m/>
  </r>
  <r>
    <x v="0"/>
    <n v="51"/>
    <s v="46-55"/>
    <x v="7"/>
    <x v="3"/>
    <x v="0"/>
    <m/>
  </r>
  <r>
    <x v="0"/>
    <n v="63"/>
    <s v="55+"/>
    <x v="7"/>
    <x v="0"/>
    <x v="0"/>
    <m/>
  </r>
  <r>
    <x v="0"/>
    <n v="63"/>
    <s v="55+"/>
    <x v="4"/>
    <x v="0"/>
    <x v="0"/>
    <m/>
  </r>
  <r>
    <x v="0"/>
    <n v="65"/>
    <s v="55+"/>
    <x v="4"/>
    <x v="0"/>
    <x v="0"/>
    <m/>
  </r>
  <r>
    <x v="0"/>
    <n v="61"/>
    <s v="55+"/>
    <x v="3"/>
    <x v="0"/>
    <x v="4"/>
    <s v="Too expensive"/>
  </r>
  <r>
    <x v="0"/>
    <n v="57"/>
    <s v="55+"/>
    <x v="0"/>
    <x v="2"/>
    <x v="0"/>
    <m/>
  </r>
  <r>
    <x v="0"/>
    <n v="57"/>
    <s v="55+"/>
    <x v="1"/>
    <x v="4"/>
    <x v="0"/>
    <m/>
  </r>
  <r>
    <x v="0"/>
    <n v="61"/>
    <s v="55+"/>
    <x v="9"/>
    <x v="4"/>
    <x v="1"/>
    <s v="Didn't meet expectations"/>
  </r>
  <r>
    <x v="0"/>
    <n v="61"/>
    <s v="55+"/>
    <x v="3"/>
    <x v="5"/>
    <x v="4"/>
    <s v="Don’t need any more"/>
  </r>
  <r>
    <x v="0"/>
    <n v="65"/>
    <s v="55+"/>
    <x v="0"/>
    <x v="3"/>
    <x v="2"/>
    <m/>
  </r>
  <r>
    <x v="0"/>
    <n v="58"/>
    <s v="55+"/>
    <x v="0"/>
    <x v="3"/>
    <x v="3"/>
    <m/>
  </r>
  <r>
    <x v="1"/>
    <n v="21"/>
    <s v="18-25"/>
    <x v="0"/>
    <x v="0"/>
    <x v="0"/>
    <m/>
  </r>
  <r>
    <x v="1"/>
    <n v="25"/>
    <s v="18-25"/>
    <x v="1"/>
    <x v="0"/>
    <x v="0"/>
    <m/>
  </r>
  <r>
    <x v="1"/>
    <n v="21"/>
    <s v="18-25"/>
    <x v="3"/>
    <x v="0"/>
    <x v="1"/>
    <s v="Too expensive"/>
  </r>
  <r>
    <x v="1"/>
    <n v="23"/>
    <s v="18-25"/>
    <x v="0"/>
    <x v="0"/>
    <x v="3"/>
    <m/>
  </r>
  <r>
    <x v="1"/>
    <n v="25"/>
    <s v="18-25"/>
    <x v="1"/>
    <x v="0"/>
    <x v="3"/>
    <m/>
  </r>
  <r>
    <x v="1"/>
    <n v="22"/>
    <s v="18-25"/>
    <x v="4"/>
    <x v="1"/>
    <x v="4"/>
    <s v="Too expensive"/>
  </r>
  <r>
    <x v="1"/>
    <n v="22"/>
    <s v="18-25"/>
    <x v="1"/>
    <x v="1"/>
    <x v="3"/>
    <m/>
  </r>
  <r>
    <x v="1"/>
    <n v="24"/>
    <s v="18-25"/>
    <x v="0"/>
    <x v="2"/>
    <x v="0"/>
    <m/>
  </r>
  <r>
    <x v="1"/>
    <n v="25"/>
    <s v="18-25"/>
    <x v="0"/>
    <x v="2"/>
    <x v="0"/>
    <m/>
  </r>
  <r>
    <x v="1"/>
    <n v="24"/>
    <s v="18-25"/>
    <x v="1"/>
    <x v="2"/>
    <x v="0"/>
    <m/>
  </r>
  <r>
    <x v="1"/>
    <n v="25"/>
    <s v="18-25"/>
    <x v="1"/>
    <x v="2"/>
    <x v="0"/>
    <m/>
  </r>
  <r>
    <x v="1"/>
    <n v="23"/>
    <s v="18-25"/>
    <x v="7"/>
    <x v="2"/>
    <x v="0"/>
    <m/>
  </r>
  <r>
    <x v="1"/>
    <n v="24"/>
    <s v="18-25"/>
    <x v="4"/>
    <x v="2"/>
    <x v="0"/>
    <m/>
  </r>
  <r>
    <x v="1"/>
    <n v="25"/>
    <s v="18-25"/>
    <x v="0"/>
    <x v="2"/>
    <x v="1"/>
    <s v="Don’t need any more"/>
  </r>
  <r>
    <x v="1"/>
    <n v="23"/>
    <s v="18-25"/>
    <x v="0"/>
    <x v="2"/>
    <x v="3"/>
    <m/>
  </r>
  <r>
    <x v="1"/>
    <n v="24"/>
    <s v="18-25"/>
    <x v="1"/>
    <x v="2"/>
    <x v="3"/>
    <m/>
  </r>
  <r>
    <x v="1"/>
    <n v="21"/>
    <s v="18-25"/>
    <x v="7"/>
    <x v="2"/>
    <x v="3"/>
    <m/>
  </r>
  <r>
    <x v="1"/>
    <n v="25"/>
    <s v="18-25"/>
    <x v="7"/>
    <x v="2"/>
    <x v="3"/>
    <m/>
  </r>
  <r>
    <x v="1"/>
    <n v="25"/>
    <s v="18-25"/>
    <x v="0"/>
    <x v="2"/>
    <x v="0"/>
    <m/>
  </r>
  <r>
    <x v="1"/>
    <n v="21"/>
    <s v="18-25"/>
    <x v="1"/>
    <x v="2"/>
    <x v="0"/>
    <m/>
  </r>
  <r>
    <x v="1"/>
    <n v="22"/>
    <s v="18-25"/>
    <x v="1"/>
    <x v="4"/>
    <x v="0"/>
    <m/>
  </r>
  <r>
    <x v="1"/>
    <n v="22"/>
    <s v="18-25"/>
    <x v="4"/>
    <x v="4"/>
    <x v="0"/>
    <m/>
  </r>
  <r>
    <x v="1"/>
    <n v="24"/>
    <s v="18-25"/>
    <x v="4"/>
    <x v="4"/>
    <x v="0"/>
    <m/>
  </r>
  <r>
    <x v="1"/>
    <n v="25"/>
    <s v="18-25"/>
    <x v="6"/>
    <x v="4"/>
    <x v="4"/>
    <s v="Too expensive"/>
  </r>
  <r>
    <x v="1"/>
    <n v="21"/>
    <s v="18-25"/>
    <x v="10"/>
    <x v="4"/>
    <x v="4"/>
    <s v="Too expensive"/>
  </r>
  <r>
    <x v="1"/>
    <n v="24"/>
    <s v="18-25"/>
    <x v="4"/>
    <x v="4"/>
    <x v="2"/>
    <m/>
  </r>
  <r>
    <x v="1"/>
    <n v="22"/>
    <s v="18-25"/>
    <x v="1"/>
    <x v="4"/>
    <x v="3"/>
    <m/>
  </r>
  <r>
    <x v="1"/>
    <n v="25"/>
    <s v="18-25"/>
    <x v="7"/>
    <x v="4"/>
    <x v="3"/>
    <m/>
  </r>
  <r>
    <x v="1"/>
    <n v="25"/>
    <s v="18-25"/>
    <x v="0"/>
    <x v="2"/>
    <x v="0"/>
    <m/>
  </r>
  <r>
    <x v="1"/>
    <n v="23"/>
    <s v="18-25"/>
    <x v="7"/>
    <x v="2"/>
    <x v="0"/>
    <m/>
  </r>
  <r>
    <x v="1"/>
    <n v="25"/>
    <s v="18-25"/>
    <x v="4"/>
    <x v="2"/>
    <x v="4"/>
    <s v="Too expensive"/>
  </r>
  <r>
    <x v="1"/>
    <n v="23"/>
    <s v="18-25"/>
    <x v="7"/>
    <x v="5"/>
    <x v="1"/>
    <s v="Don’t need any more"/>
  </r>
  <r>
    <x v="1"/>
    <n v="23"/>
    <s v="18-25"/>
    <x v="1"/>
    <x v="5"/>
    <x v="2"/>
    <m/>
  </r>
  <r>
    <x v="1"/>
    <n v="23"/>
    <s v="18-25"/>
    <x v="7"/>
    <x v="5"/>
    <x v="2"/>
    <m/>
  </r>
  <r>
    <x v="1"/>
    <n v="24"/>
    <s v="18-25"/>
    <x v="7"/>
    <x v="5"/>
    <x v="2"/>
    <m/>
  </r>
  <r>
    <x v="1"/>
    <n v="24"/>
    <s v="18-25"/>
    <x v="4"/>
    <x v="5"/>
    <x v="2"/>
    <m/>
  </r>
  <r>
    <x v="1"/>
    <n v="24"/>
    <s v="18-25"/>
    <x v="0"/>
    <x v="5"/>
    <x v="3"/>
    <m/>
  </r>
  <r>
    <x v="1"/>
    <n v="23"/>
    <s v="18-25"/>
    <x v="1"/>
    <x v="5"/>
    <x v="3"/>
    <m/>
  </r>
  <r>
    <x v="1"/>
    <n v="23"/>
    <s v="18-25"/>
    <x v="1"/>
    <x v="5"/>
    <x v="3"/>
    <m/>
  </r>
  <r>
    <x v="1"/>
    <n v="21"/>
    <s v="18-25"/>
    <x v="0"/>
    <x v="3"/>
    <x v="0"/>
    <m/>
  </r>
  <r>
    <x v="1"/>
    <n v="22"/>
    <s v="18-25"/>
    <x v="0"/>
    <x v="3"/>
    <x v="0"/>
    <m/>
  </r>
  <r>
    <x v="1"/>
    <n v="23"/>
    <s v="18-25"/>
    <x v="0"/>
    <x v="3"/>
    <x v="0"/>
    <m/>
  </r>
  <r>
    <x v="1"/>
    <n v="22"/>
    <s v="18-25"/>
    <x v="1"/>
    <x v="3"/>
    <x v="3"/>
    <m/>
  </r>
  <r>
    <x v="1"/>
    <n v="24"/>
    <s v="18-25"/>
    <x v="1"/>
    <x v="3"/>
    <x v="3"/>
    <m/>
  </r>
  <r>
    <x v="1"/>
    <n v="26"/>
    <s v="26-35"/>
    <x v="1"/>
    <x v="0"/>
    <x v="0"/>
    <m/>
  </r>
  <r>
    <x v="1"/>
    <n v="26"/>
    <s v="26-35"/>
    <x v="0"/>
    <x v="0"/>
    <x v="3"/>
    <m/>
  </r>
  <r>
    <x v="1"/>
    <n v="35"/>
    <s v="26-35"/>
    <x v="0"/>
    <x v="0"/>
    <x v="3"/>
    <m/>
  </r>
  <r>
    <x v="1"/>
    <n v="28"/>
    <s v="26-35"/>
    <x v="1"/>
    <x v="0"/>
    <x v="3"/>
    <m/>
  </r>
  <r>
    <x v="1"/>
    <n v="31"/>
    <s v="26-35"/>
    <x v="4"/>
    <x v="1"/>
    <x v="0"/>
    <m/>
  </r>
  <r>
    <x v="1"/>
    <n v="26"/>
    <s v="26-35"/>
    <x v="4"/>
    <x v="1"/>
    <x v="1"/>
    <s v="Don’t need any more"/>
  </r>
  <r>
    <x v="1"/>
    <n v="30"/>
    <s v="26-35"/>
    <x v="4"/>
    <x v="1"/>
    <x v="1"/>
    <s v="Don’t need any more"/>
  </r>
  <r>
    <x v="1"/>
    <n v="26"/>
    <s v="26-35"/>
    <x v="1"/>
    <x v="1"/>
    <x v="2"/>
    <m/>
  </r>
  <r>
    <x v="1"/>
    <n v="35"/>
    <s v="26-35"/>
    <x v="1"/>
    <x v="1"/>
    <x v="2"/>
    <m/>
  </r>
  <r>
    <x v="1"/>
    <n v="29"/>
    <s v="26-35"/>
    <x v="1"/>
    <x v="1"/>
    <x v="3"/>
    <m/>
  </r>
  <r>
    <x v="1"/>
    <n v="27"/>
    <s v="26-35"/>
    <x v="0"/>
    <x v="2"/>
    <x v="0"/>
    <m/>
  </r>
  <r>
    <x v="1"/>
    <n v="26"/>
    <s v="26-35"/>
    <x v="1"/>
    <x v="2"/>
    <x v="0"/>
    <m/>
  </r>
  <r>
    <x v="1"/>
    <n v="26"/>
    <s v="26-35"/>
    <x v="1"/>
    <x v="2"/>
    <x v="0"/>
    <m/>
  </r>
  <r>
    <x v="1"/>
    <n v="29"/>
    <s v="26-35"/>
    <x v="1"/>
    <x v="2"/>
    <x v="0"/>
    <m/>
  </r>
  <r>
    <x v="1"/>
    <n v="34"/>
    <s v="26-35"/>
    <x v="1"/>
    <x v="2"/>
    <x v="0"/>
    <m/>
  </r>
  <r>
    <x v="1"/>
    <n v="29"/>
    <s v="26-35"/>
    <x v="7"/>
    <x v="2"/>
    <x v="0"/>
    <m/>
  </r>
  <r>
    <x v="1"/>
    <n v="32"/>
    <s v="26-35"/>
    <x v="4"/>
    <x v="2"/>
    <x v="4"/>
    <s v="Too expensive"/>
  </r>
  <r>
    <x v="1"/>
    <n v="27"/>
    <s v="26-35"/>
    <x v="1"/>
    <x v="2"/>
    <x v="1"/>
    <s v="Don’t need any more"/>
  </r>
  <r>
    <x v="1"/>
    <n v="29"/>
    <s v="26-35"/>
    <x v="1"/>
    <x v="2"/>
    <x v="1"/>
    <s v="Don’t need any more"/>
  </r>
  <r>
    <x v="1"/>
    <n v="35"/>
    <s v="26-35"/>
    <x v="4"/>
    <x v="2"/>
    <x v="2"/>
    <m/>
  </r>
  <r>
    <x v="1"/>
    <n v="27"/>
    <s v="26-35"/>
    <x v="0"/>
    <x v="2"/>
    <x v="3"/>
    <m/>
  </r>
  <r>
    <x v="1"/>
    <n v="28"/>
    <s v="26-35"/>
    <x v="1"/>
    <x v="2"/>
    <x v="3"/>
    <m/>
  </r>
  <r>
    <x v="1"/>
    <n v="27"/>
    <s v="26-35"/>
    <x v="3"/>
    <x v="2"/>
    <x v="3"/>
    <m/>
  </r>
  <r>
    <x v="1"/>
    <n v="33"/>
    <s v="26-35"/>
    <x v="7"/>
    <x v="4"/>
    <x v="0"/>
    <m/>
  </r>
  <r>
    <x v="1"/>
    <n v="30"/>
    <s v="26-35"/>
    <x v="4"/>
    <x v="4"/>
    <x v="2"/>
    <m/>
  </r>
  <r>
    <x v="1"/>
    <n v="27"/>
    <s v="26-35"/>
    <x v="1"/>
    <x v="4"/>
    <x v="3"/>
    <m/>
  </r>
  <r>
    <x v="1"/>
    <n v="32"/>
    <s v="26-35"/>
    <x v="0"/>
    <x v="5"/>
    <x v="0"/>
    <m/>
  </r>
  <r>
    <x v="1"/>
    <n v="27"/>
    <s v="26-35"/>
    <x v="1"/>
    <x v="5"/>
    <x v="0"/>
    <m/>
  </r>
  <r>
    <x v="1"/>
    <n v="26"/>
    <s v="26-35"/>
    <x v="7"/>
    <x v="5"/>
    <x v="0"/>
    <m/>
  </r>
  <r>
    <x v="1"/>
    <n v="34"/>
    <s v="26-35"/>
    <x v="4"/>
    <x v="5"/>
    <x v="1"/>
    <s v="Didn't meet expectations"/>
  </r>
  <r>
    <x v="1"/>
    <n v="29"/>
    <s v="26-35"/>
    <x v="1"/>
    <x v="5"/>
    <x v="3"/>
    <m/>
  </r>
  <r>
    <x v="1"/>
    <n v="32"/>
    <s v="26-35"/>
    <x v="1"/>
    <x v="5"/>
    <x v="3"/>
    <m/>
  </r>
  <r>
    <x v="1"/>
    <n v="34"/>
    <s v="26-35"/>
    <x v="1"/>
    <x v="5"/>
    <x v="3"/>
    <m/>
  </r>
  <r>
    <x v="1"/>
    <n v="26"/>
    <s v="26-35"/>
    <x v="7"/>
    <x v="3"/>
    <x v="0"/>
    <m/>
  </r>
  <r>
    <x v="1"/>
    <n v="30"/>
    <s v="26-35"/>
    <x v="7"/>
    <x v="3"/>
    <x v="0"/>
    <m/>
  </r>
  <r>
    <x v="1"/>
    <n v="30"/>
    <s v="26-35"/>
    <x v="0"/>
    <x v="3"/>
    <x v="1"/>
    <s v="Don’t need any more"/>
  </r>
  <r>
    <x v="1"/>
    <n v="32"/>
    <s v="26-35"/>
    <x v="1"/>
    <x v="3"/>
    <x v="2"/>
    <m/>
  </r>
  <r>
    <x v="1"/>
    <n v="33"/>
    <s v="26-35"/>
    <x v="0"/>
    <x v="3"/>
    <x v="3"/>
    <m/>
  </r>
  <r>
    <x v="1"/>
    <n v="31"/>
    <s v="26-35"/>
    <x v="1"/>
    <x v="3"/>
    <x v="3"/>
    <m/>
  </r>
  <r>
    <x v="1"/>
    <n v="40"/>
    <s v="36-45"/>
    <x v="1"/>
    <x v="0"/>
    <x v="0"/>
    <m/>
  </r>
  <r>
    <x v="1"/>
    <n v="42"/>
    <s v="36-45"/>
    <x v="1"/>
    <x v="0"/>
    <x v="3"/>
    <m/>
  </r>
  <r>
    <x v="1"/>
    <n v="40"/>
    <s v="36-45"/>
    <x v="7"/>
    <x v="2"/>
    <x v="0"/>
    <m/>
  </r>
  <r>
    <x v="1"/>
    <n v="39"/>
    <s v="36-45"/>
    <x v="1"/>
    <x v="2"/>
    <x v="3"/>
    <m/>
  </r>
  <r>
    <x v="1"/>
    <n v="44"/>
    <s v="36-45"/>
    <x v="1"/>
    <x v="2"/>
    <x v="3"/>
    <m/>
  </r>
  <r>
    <x v="1"/>
    <n v="39"/>
    <s v="36-45"/>
    <x v="1"/>
    <x v="4"/>
    <x v="2"/>
    <m/>
  </r>
  <r>
    <x v="1"/>
    <n v="45"/>
    <s v="36-45"/>
    <x v="0"/>
    <x v="4"/>
    <x v="3"/>
    <m/>
  </r>
  <r>
    <x v="1"/>
    <n v="36"/>
    <s v="36-45"/>
    <x v="1"/>
    <x v="4"/>
    <x v="3"/>
    <m/>
  </r>
  <r>
    <x v="1"/>
    <n v="36"/>
    <s v="36-45"/>
    <x v="6"/>
    <x v="5"/>
    <x v="1"/>
    <s v="Low quality"/>
  </r>
  <r>
    <x v="1"/>
    <n v="40"/>
    <s v="36-45"/>
    <x v="7"/>
    <x v="5"/>
    <x v="3"/>
    <m/>
  </r>
  <r>
    <x v="1"/>
    <n v="45"/>
    <s v="36-45"/>
    <x v="0"/>
    <x v="3"/>
    <x v="2"/>
    <m/>
  </r>
  <r>
    <x v="1"/>
    <n v="53"/>
    <s v="46-55"/>
    <x v="1"/>
    <x v="0"/>
    <x v="0"/>
    <m/>
  </r>
  <r>
    <x v="1"/>
    <n v="53"/>
    <s v="46-55"/>
    <x v="5"/>
    <x v="0"/>
    <x v="4"/>
    <s v="Don’t need any more"/>
  </r>
  <r>
    <x v="1"/>
    <n v="48"/>
    <s v="46-55"/>
    <x v="3"/>
    <x v="4"/>
    <x v="0"/>
    <m/>
  </r>
  <r>
    <x v="1"/>
    <n v="53"/>
    <s v="46-55"/>
    <x v="1"/>
    <x v="5"/>
    <x v="3"/>
    <m/>
  </r>
  <r>
    <x v="1"/>
    <n v="56"/>
    <s v="55+"/>
    <x v="7"/>
    <x v="0"/>
    <x v="1"/>
    <s v="Don’t need any more"/>
  </r>
  <r>
    <x v="1"/>
    <n v="65"/>
    <s v="55+"/>
    <x v="0"/>
    <x v="0"/>
    <x v="3"/>
    <m/>
  </r>
  <r>
    <x v="1"/>
    <n v="65"/>
    <s v="55+"/>
    <x v="1"/>
    <x v="4"/>
    <x v="0"/>
    <m/>
  </r>
  <r>
    <x v="1"/>
    <n v="61"/>
    <s v="55+"/>
    <x v="1"/>
    <x v="3"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2">
  <location ref="P12:V26" firstHeaderRow="1" firstDataRow="3" firstDataCol="1"/>
  <pivotFields count="7">
    <pivotField axis="axisCol" showAll="0">
      <items count="3">
        <item x="0"/>
        <item x="1"/>
        <item t="default"/>
      </items>
    </pivotField>
    <pivotField showAll="0"/>
    <pivotField showAll="0"/>
    <pivotField axis="axisRow" dataField="1" showAll="0">
      <items count="12">
        <item x="9"/>
        <item x="8"/>
        <item x="5"/>
        <item x="10"/>
        <item x="6"/>
        <item x="3"/>
        <item x="2"/>
        <item x="4"/>
        <item x="7"/>
        <item x="1"/>
        <item x="0"/>
        <item t="default"/>
      </items>
    </pivotField>
    <pivotField showAll="0"/>
    <pivotField showAll="0"/>
    <pivotField showAll="0"/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-2"/>
    <field x="0"/>
  </colFields>
  <colItems count="6">
    <i>
      <x/>
      <x/>
    </i>
    <i r="1">
      <x v="1"/>
    </i>
    <i i="1">
      <x v="1"/>
      <x/>
    </i>
    <i r="1" i="1">
      <x v="1"/>
    </i>
    <i t="grand">
      <x/>
    </i>
    <i t="grand" i="1">
      <x/>
    </i>
  </colItems>
  <dataFields count="2">
    <dataField name="NPS" fld="3" subtotal="count" baseField="0" baseItem="0"/>
    <dataField name="NPS%" fld="3" subtotal="count" showDataAs="percentOfCol" baseField="0" baseItem="0" numFmtId="10"/>
  </dataFields>
  <formats count="6">
    <format dxfId="26">
      <pivotArea collapsedLevelsAreSubtotals="1" fieldPosition="0">
        <references count="3">
          <reference field="4294967294" count="2" selected="0">
            <x v="0"/>
            <x v="1"/>
          </reference>
          <reference field="0" count="0" selected="0"/>
          <reference field="3" count="0"/>
        </references>
      </pivotArea>
    </format>
    <format dxfId="25">
      <pivotArea collapsedLevelsAreSubtotals="1" fieldPosition="0">
        <references count="3">
          <reference field="4294967294" count="2" selected="0">
            <x v="0"/>
            <x v="1"/>
          </reference>
          <reference field="0" count="0" selected="0"/>
          <reference field="3" count="0"/>
        </references>
      </pivotArea>
    </format>
    <format dxfId="2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3">
      <pivotArea dataOnly="0" labelOnly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22">
      <pivotArea dataOnly="0" labelOnly="1" fieldPosition="0">
        <references count="2">
          <reference field="4294967294" count="1" selected="0">
            <x v="1"/>
          </reference>
          <reference field="0" count="0"/>
        </references>
      </pivotArea>
    </format>
    <format dxfId="21">
      <pivotArea type="all" dataOnly="0" outline="0" fieldPosition="0"/>
    </format>
  </formats>
  <chartFormats count="12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8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8" format="3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11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10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1" format="11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U38:AA46" firstHeaderRow="1" firstDataRow="3" firstDataCol="1"/>
  <pivotFields count="7"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axis="axisRow" dataField="1" showAll="0">
      <items count="6">
        <item x="3"/>
        <item x="0"/>
        <item x="1"/>
        <item x="2"/>
        <item x="4"/>
        <item t="default"/>
      </items>
    </pivotField>
    <pivotField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-2"/>
    <field x="0"/>
  </colFields>
  <colItems count="6">
    <i>
      <x/>
      <x/>
    </i>
    <i r="1">
      <x v="1"/>
    </i>
    <i i="1">
      <x v="1"/>
      <x/>
    </i>
    <i r="1" i="1">
      <x v="1"/>
    </i>
    <i t="grand">
      <x/>
    </i>
    <i t="grand" i="1">
      <x/>
    </i>
  </colItems>
  <dataFields count="2">
    <dataField name="How likely " fld="5" subtotal="count" baseField="0" baseItem="0"/>
    <dataField name="How likely%" fld="5" subtotal="count" showDataAs="percentOfCol" baseField="0" baseItem="0" numFmtId="10"/>
  </dataFields>
  <formats count="5">
    <format dxfId="20">
      <pivotArea collapsedLevelsAreSubtotals="1" fieldPosition="0">
        <references count="3">
          <reference field="4294967294" count="2" selected="0">
            <x v="0"/>
            <x v="1"/>
          </reference>
          <reference field="0" count="0" selected="0"/>
          <reference field="5" count="0"/>
        </references>
      </pivotArea>
    </format>
    <format dxfId="1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8">
      <pivotArea dataOnly="0" labelOnly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17">
      <pivotArea dataOnly="0" labelOnly="1" fieldPosition="0">
        <references count="2">
          <reference field="4294967294" count="1" selected="0">
            <x v="1"/>
          </reference>
          <reference field="0" count="0"/>
        </references>
      </pivotArea>
    </format>
    <format dxfId="16">
      <pivotArea type="all" dataOnly="0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6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>
  <location ref="C4:I18" firstHeaderRow="1" firstDataRow="3" firstDataCol="1"/>
  <pivotFields count="7">
    <pivotField axis="axisCol" showAll="0">
      <items count="3">
        <item x="0"/>
        <item x="1"/>
        <item t="default"/>
      </items>
    </pivotField>
    <pivotField showAll="0"/>
    <pivotField showAll="0"/>
    <pivotField axis="axisRow" dataField="1" showAll="0">
      <items count="12">
        <item x="9"/>
        <item x="8"/>
        <item x="5"/>
        <item x="10"/>
        <item x="6"/>
        <item x="3"/>
        <item x="2"/>
        <item x="4"/>
        <item x="7"/>
        <item x="1"/>
        <item x="0"/>
        <item t="default"/>
      </items>
    </pivotField>
    <pivotField showAll="0"/>
    <pivotField showAll="0"/>
    <pivotField showAll="0"/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-2"/>
    <field x="0"/>
  </colFields>
  <colItems count="6">
    <i>
      <x/>
      <x/>
    </i>
    <i r="1">
      <x v="1"/>
    </i>
    <i i="1">
      <x v="1"/>
      <x/>
    </i>
    <i r="1" i="1">
      <x v="1"/>
    </i>
    <i t="grand">
      <x/>
    </i>
    <i t="grand" i="1">
      <x/>
    </i>
  </colItems>
  <dataFields count="2">
    <dataField name="NPS" fld="3" baseField="0" baseItem="0"/>
    <dataField name="NPS %age" fld="3" showDataAs="percentOfCol" baseField="0" baseItem="0" numFmtId="10"/>
  </dataFields>
  <formats count="4"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dataOnly="0" labelOnly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3">
      <pivotArea dataOnly="0" labelOnly="1" fieldPosition="0">
        <references count="2">
          <reference field="4294967294" count="1" selected="0">
            <x v="1"/>
          </reference>
          <reference field="0" count="0"/>
        </references>
      </pivotArea>
    </format>
    <format dxfId="2">
      <pivotArea collapsedLevelsAreSubtotals="1" fieldPosition="0">
        <references count="3">
          <reference field="4294967294" count="2" selected="0">
            <x v="0"/>
            <x v="1"/>
          </reference>
          <reference field="0" count="0" selected="0"/>
          <reference field="3" count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7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3">
  <location ref="K4:Q13" firstHeaderRow="1" firstDataRow="3" firstDataCol="1"/>
  <pivotFields count="7"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axis="axisRow" dataField="1" showAll="0">
      <items count="7">
        <item x="0"/>
        <item x="1"/>
        <item x="2"/>
        <item x="4"/>
        <item x="5"/>
        <item x="3"/>
        <item t="default"/>
      </items>
    </pivotField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2">
    <field x="-2"/>
    <field x="0"/>
  </colFields>
  <colItems count="6">
    <i>
      <x/>
      <x/>
    </i>
    <i r="1">
      <x v="1"/>
    </i>
    <i i="1">
      <x v="1"/>
      <x/>
    </i>
    <i r="1" i="1">
      <x v="1"/>
    </i>
    <i t="grand">
      <x/>
    </i>
    <i t="grand" i="1">
      <x/>
    </i>
  </colItems>
  <dataFields count="2">
    <dataField name="Hear First" fld="4" subtotal="count" baseField="0" baseItem="0"/>
    <dataField name="Hear First %age" fld="4" subtotal="count" showDataAs="percentOfCol" baseField="0" baseItem="0" numFmtId="10"/>
  </dataFields>
  <formats count="7">
    <format dxfId="12">
      <pivotArea collapsedLevelsAreSubtotals="1" fieldPosition="0">
        <references count="3">
          <reference field="4294967294" count="2" selected="0">
            <x v="0"/>
            <x v="1"/>
          </reference>
          <reference field="0" count="0" selected="0"/>
          <reference field="4" count="0"/>
        </references>
      </pivotArea>
    </format>
    <format dxfId="1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">
      <pivotArea dataOnly="0" labelOnly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">
      <pivotArea dataOnly="0" labelOnly="1" fieldPosition="0">
        <references count="2">
          <reference field="4294967294" count="1" selected="0">
            <x v="1"/>
          </reference>
          <reference field="0" count="0"/>
        </references>
      </pivotArea>
    </format>
    <format dxfId="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">
      <pivotArea dataOnly="0" labelOnly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6">
      <pivotArea dataOnly="0" labelOnly="1" fieldPosition="0">
        <references count="2">
          <reference field="4294967294" count="1" selected="0">
            <x v="1"/>
          </reference>
          <reference field="0" count="0"/>
        </references>
      </pivotArea>
    </format>
  </format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" format="18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7" format="19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K15:Q24" firstHeaderRow="1" firstDataRow="3" firstDataCol="1"/>
  <pivotFields count="7"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axis="axisRow" dataField="1" showAll="0">
      <items count="7">
        <item x="0"/>
        <item x="1"/>
        <item x="2"/>
        <item x="4"/>
        <item x="5"/>
        <item x="3"/>
        <item t="default"/>
      </items>
    </pivotField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2">
    <field x="0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How did you first hear " fld="4" subtotal="count" baseField="0" baseItem="0"/>
    <dataField name="How did you first hear%" fld="4" subtotal="count" showDataAs="percentOfCol" baseField="0" baseItem="0" numFmtId="10"/>
  </dataFields>
  <formats count="4">
    <format dxfId="15">
      <pivotArea type="all" dataOnly="0" outline="0" fieldPosition="0"/>
    </format>
    <format dxfId="14">
      <pivotArea field="0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3">
      <pivotArea field="0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">
      <pivotArea dataOnly="0" labelOnly="1" fieldPosition="0">
        <references count="1">
          <reference field="4" count="1"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"/>
  <sheetViews>
    <sheetView showGridLines="0" zoomScale="80" zoomScaleNormal="80" workbookViewId="0">
      <selection activeCell="B3" sqref="B3"/>
    </sheetView>
  </sheetViews>
  <sheetFormatPr defaultColWidth="0" defaultRowHeight="14.5" x14ac:dyDescent="0.35"/>
  <cols>
    <col min="1" max="1" width="14.453125" style="28" customWidth="1"/>
    <col min="2" max="15" width="13.453125" style="28" customWidth="1"/>
    <col min="16" max="20" width="13.453125" style="28" hidden="1" customWidth="1"/>
    <col min="21" max="16384" width="12.1796875" style="28" hidden="1"/>
  </cols>
  <sheetData>
    <row r="1" spans="1:7" s="26" customFormat="1" x14ac:dyDescent="0.35">
      <c r="A1" s="23"/>
      <c r="B1" s="23"/>
      <c r="C1" s="24"/>
      <c r="D1" s="24"/>
      <c r="E1" s="25"/>
      <c r="F1" s="24"/>
      <c r="G1" s="23"/>
    </row>
    <row r="9" spans="1:7" x14ac:dyDescent="0.35">
      <c r="A9" s="27"/>
    </row>
  </sheetData>
  <printOptions horizontalCentered="1" verticalCentered="1"/>
  <pageMargins left="0.2" right="0.2" top="0.25" bottom="0.25" header="0.3" footer="0.3"/>
  <pageSetup scale="6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P96"/>
  <sheetViews>
    <sheetView showGridLines="0" zoomScale="90" zoomScaleNormal="90" workbookViewId="0">
      <pane ySplit="5" topLeftCell="A8" activePane="bottomLeft" state="frozen"/>
      <selection pane="bottomLeft" activeCell="A26" sqref="A26"/>
    </sheetView>
  </sheetViews>
  <sheetFormatPr defaultColWidth="8.81640625" defaultRowHeight="14.5" x14ac:dyDescent="0.35"/>
  <cols>
    <col min="1" max="1" width="1.54296875" customWidth="1"/>
    <col min="2" max="2" width="12.54296875" customWidth="1"/>
    <col min="3" max="4" width="12.54296875" style="28" customWidth="1"/>
    <col min="5" max="6" width="12.54296875" customWidth="1"/>
    <col min="7" max="7" width="18.1796875" customWidth="1"/>
    <col min="8" max="8" width="16.1796875" style="28" customWidth="1"/>
    <col min="9" max="9" width="17.54296875" style="28" customWidth="1"/>
    <col min="10" max="10" width="19" style="28" customWidth="1"/>
    <col min="11" max="11" width="22.81640625" customWidth="1"/>
    <col min="12" max="14" width="12.54296875" customWidth="1"/>
    <col min="15" max="16" width="12.54296875" style="28" customWidth="1"/>
  </cols>
  <sheetData>
    <row r="1" spans="2:16" ht="7" customHeight="1" x14ac:dyDescent="0.35">
      <c r="N1" t="s">
        <v>3</v>
      </c>
    </row>
    <row r="2" spans="2:16" ht="18.5" x14ac:dyDescent="0.45">
      <c r="B2" s="15" t="s">
        <v>5</v>
      </c>
      <c r="C2" s="43"/>
      <c r="D2" s="43"/>
      <c r="E2" s="43"/>
      <c r="F2" s="43"/>
      <c r="G2" s="43"/>
      <c r="H2" s="43"/>
      <c r="I2" s="44"/>
      <c r="J2" s="194"/>
      <c r="K2" s="43"/>
      <c r="L2" s="43"/>
      <c r="M2" s="43"/>
      <c r="N2" s="43"/>
      <c r="O2" s="43"/>
      <c r="P2" s="44"/>
    </row>
    <row r="3" spans="2:16" s="2" customFormat="1" ht="15.5" x14ac:dyDescent="0.35">
      <c r="B3" s="154" t="s">
        <v>914</v>
      </c>
      <c r="C3" s="43"/>
      <c r="D3" s="43"/>
      <c r="E3" s="43"/>
      <c r="F3" s="43"/>
      <c r="G3" s="44"/>
      <c r="H3" s="44"/>
      <c r="I3" s="44"/>
      <c r="J3" s="43"/>
      <c r="K3" s="43"/>
      <c r="L3" s="43"/>
      <c r="M3" s="43"/>
      <c r="N3" s="44"/>
      <c r="O3" s="44"/>
      <c r="P3" s="44"/>
    </row>
    <row r="4" spans="2:16" ht="15.5" x14ac:dyDescent="0.35">
      <c r="B4" s="18"/>
      <c r="C4" s="51"/>
      <c r="D4" s="45"/>
      <c r="E4" s="46"/>
      <c r="F4" s="47"/>
      <c r="G4" s="48"/>
      <c r="H4" s="49"/>
      <c r="I4" s="195"/>
      <c r="J4" s="52"/>
      <c r="K4" s="45"/>
      <c r="L4" s="46"/>
      <c r="M4" s="47"/>
      <c r="N4" s="48"/>
      <c r="O4" s="49"/>
      <c r="P4" s="50"/>
    </row>
    <row r="5" spans="2:16" ht="29" x14ac:dyDescent="0.35">
      <c r="B5" s="16" t="s">
        <v>6</v>
      </c>
      <c r="C5" s="295" t="s">
        <v>956</v>
      </c>
      <c r="D5" s="295" t="s">
        <v>957</v>
      </c>
      <c r="E5" s="295" t="s">
        <v>958</v>
      </c>
      <c r="F5" s="295" t="s">
        <v>959</v>
      </c>
      <c r="G5" s="295" t="s">
        <v>1005</v>
      </c>
      <c r="H5" s="295" t="s">
        <v>960</v>
      </c>
      <c r="I5" s="295" t="s">
        <v>1006</v>
      </c>
      <c r="J5" s="16" t="s">
        <v>11</v>
      </c>
      <c r="K5" s="16" t="s">
        <v>7</v>
      </c>
      <c r="L5" s="16" t="s">
        <v>8</v>
      </c>
      <c r="M5" s="16" t="s">
        <v>9</v>
      </c>
      <c r="N5" s="16" t="s">
        <v>18</v>
      </c>
      <c r="O5" s="16" t="s">
        <v>10</v>
      </c>
      <c r="P5" s="16" t="s">
        <v>19</v>
      </c>
    </row>
    <row r="6" spans="2:16" x14ac:dyDescent="0.35">
      <c r="B6" s="11">
        <v>42826</v>
      </c>
      <c r="C6" s="30" t="s">
        <v>12</v>
      </c>
      <c r="D6" s="31">
        <v>4313</v>
      </c>
      <c r="E6" s="10">
        <v>64</v>
      </c>
      <c r="F6" s="32">
        <v>98.56</v>
      </c>
      <c r="G6" s="33">
        <v>1.49E-2</v>
      </c>
      <c r="H6" s="21">
        <v>5</v>
      </c>
      <c r="I6" s="33">
        <v>7.1099999999999997E-2</v>
      </c>
      <c r="J6" s="30" t="s">
        <v>15</v>
      </c>
      <c r="K6" s="31">
        <v>1416</v>
      </c>
      <c r="L6" s="10">
        <v>27</v>
      </c>
      <c r="M6" s="32">
        <v>65.070000000000007</v>
      </c>
      <c r="N6" s="33">
        <v>1.9400000000000001E-2</v>
      </c>
      <c r="O6" s="21">
        <v>3</v>
      </c>
      <c r="P6" s="33">
        <v>0.1038</v>
      </c>
    </row>
    <row r="7" spans="2:16" x14ac:dyDescent="0.35">
      <c r="B7" s="11">
        <v>42827</v>
      </c>
      <c r="C7" s="30" t="s">
        <v>12</v>
      </c>
      <c r="D7" s="31">
        <v>6668</v>
      </c>
      <c r="E7" s="10">
        <v>83</v>
      </c>
      <c r="F7" s="32">
        <v>134.46</v>
      </c>
      <c r="G7" s="33">
        <v>1.2500000000000001E-2</v>
      </c>
      <c r="H7" s="21">
        <v>6</v>
      </c>
      <c r="I7" s="33">
        <v>6.7000000000000004E-2</v>
      </c>
      <c r="J7" s="30" t="s">
        <v>15</v>
      </c>
      <c r="K7" s="31">
        <v>2747</v>
      </c>
      <c r="L7" s="10">
        <v>37</v>
      </c>
      <c r="M7" s="32">
        <v>86.210000000000008</v>
      </c>
      <c r="N7" s="33">
        <v>1.35E-2</v>
      </c>
      <c r="O7" s="21">
        <v>4</v>
      </c>
      <c r="P7" s="33">
        <v>0.1082</v>
      </c>
    </row>
    <row r="8" spans="2:16" x14ac:dyDescent="0.35">
      <c r="B8" s="11">
        <v>42828</v>
      </c>
      <c r="C8" s="30" t="s">
        <v>12</v>
      </c>
      <c r="D8" s="31">
        <v>4878</v>
      </c>
      <c r="E8" s="10">
        <v>49</v>
      </c>
      <c r="F8" s="32">
        <v>80.849999999999994</v>
      </c>
      <c r="G8" s="33">
        <v>1.01E-2</v>
      </c>
      <c r="H8" s="21">
        <v>3</v>
      </c>
      <c r="I8" s="33">
        <v>6.6600000000000006E-2</v>
      </c>
      <c r="J8" s="30" t="s">
        <v>15</v>
      </c>
      <c r="K8" s="31">
        <v>2343</v>
      </c>
      <c r="L8" s="10">
        <v>37</v>
      </c>
      <c r="M8" s="32">
        <v>68.45</v>
      </c>
      <c r="N8" s="33">
        <v>1.5699999999999999E-2</v>
      </c>
      <c r="O8" s="21">
        <v>4</v>
      </c>
      <c r="P8" s="33">
        <v>0.1038</v>
      </c>
    </row>
    <row r="9" spans="2:16" x14ac:dyDescent="0.35">
      <c r="B9" s="11">
        <v>42829</v>
      </c>
      <c r="C9" s="30" t="s">
        <v>12</v>
      </c>
      <c r="D9" s="31">
        <v>5291</v>
      </c>
      <c r="E9" s="10">
        <v>57</v>
      </c>
      <c r="F9" s="32">
        <v>99.75</v>
      </c>
      <c r="G9" s="33">
        <v>1.0699999999999999E-2</v>
      </c>
      <c r="H9" s="21">
        <v>4</v>
      </c>
      <c r="I9" s="33">
        <v>6.54E-2</v>
      </c>
      <c r="J9" s="30" t="s">
        <v>15</v>
      </c>
      <c r="K9" s="31">
        <v>1169</v>
      </c>
      <c r="L9" s="10">
        <v>17</v>
      </c>
      <c r="M9" s="32">
        <v>40.799999999999997</v>
      </c>
      <c r="N9" s="33">
        <v>1.44E-2</v>
      </c>
      <c r="O9" s="21">
        <v>2</v>
      </c>
      <c r="P9" s="33">
        <v>0.10970000000000001</v>
      </c>
    </row>
    <row r="10" spans="2:16" x14ac:dyDescent="0.35">
      <c r="B10" s="11">
        <v>42830</v>
      </c>
      <c r="C10" s="30" t="s">
        <v>12</v>
      </c>
      <c r="D10" s="31">
        <v>5708</v>
      </c>
      <c r="E10" s="10">
        <v>75</v>
      </c>
      <c r="F10" s="32">
        <v>143.25</v>
      </c>
      <c r="G10" s="33">
        <v>1.3100000000000001E-2</v>
      </c>
      <c r="H10" s="21">
        <v>5</v>
      </c>
      <c r="I10" s="33">
        <v>6.4500000000000002E-2</v>
      </c>
      <c r="J10" s="30" t="s">
        <v>15</v>
      </c>
      <c r="K10" s="31">
        <v>2169</v>
      </c>
      <c r="L10" s="10">
        <v>32</v>
      </c>
      <c r="M10" s="32">
        <v>66.88</v>
      </c>
      <c r="N10" s="33">
        <v>1.47E-2</v>
      </c>
      <c r="O10" s="21">
        <v>4</v>
      </c>
      <c r="P10" s="33">
        <v>0.1186</v>
      </c>
    </row>
    <row r="11" spans="2:16" x14ac:dyDescent="0.35">
      <c r="B11" s="11">
        <v>42831</v>
      </c>
      <c r="C11" s="30" t="s">
        <v>12</v>
      </c>
      <c r="D11" s="31">
        <v>6601</v>
      </c>
      <c r="E11" s="10">
        <v>97</v>
      </c>
      <c r="F11" s="32">
        <v>128.04</v>
      </c>
      <c r="G11" s="33">
        <v>1.47E-2</v>
      </c>
      <c r="H11" s="21">
        <v>7</v>
      </c>
      <c r="I11" s="33">
        <v>6.7100000000000007E-2</v>
      </c>
      <c r="J11" s="30" t="s">
        <v>15</v>
      </c>
      <c r="K11" s="31">
        <v>1501</v>
      </c>
      <c r="L11" s="10">
        <v>20</v>
      </c>
      <c r="M11" s="32">
        <v>47</v>
      </c>
      <c r="N11" s="33">
        <v>1.2999999999999999E-2</v>
      </c>
      <c r="O11" s="21">
        <v>2</v>
      </c>
      <c r="P11" s="33">
        <v>9.4E-2</v>
      </c>
    </row>
    <row r="12" spans="2:16" x14ac:dyDescent="0.35">
      <c r="B12" s="11">
        <v>42832</v>
      </c>
      <c r="C12" s="30" t="s">
        <v>12</v>
      </c>
      <c r="D12" s="31">
        <v>5385</v>
      </c>
      <c r="E12" s="10">
        <v>47</v>
      </c>
      <c r="F12" s="32">
        <v>89.3</v>
      </c>
      <c r="G12" s="33">
        <v>8.8000000000000005E-3</v>
      </c>
      <c r="H12" s="21">
        <v>3</v>
      </c>
      <c r="I12" s="33">
        <v>6.6100000000000006E-2</v>
      </c>
      <c r="J12" s="30" t="s">
        <v>15</v>
      </c>
      <c r="K12" s="31">
        <v>2036</v>
      </c>
      <c r="L12" s="10">
        <v>33</v>
      </c>
      <c r="M12" s="32">
        <v>75.570000000000007</v>
      </c>
      <c r="N12" s="33">
        <v>1.6E-2</v>
      </c>
      <c r="O12" s="21">
        <v>3</v>
      </c>
      <c r="P12" s="33">
        <v>9.1700000000000004E-2</v>
      </c>
    </row>
    <row r="13" spans="2:16" x14ac:dyDescent="0.35">
      <c r="B13" s="11">
        <v>42833</v>
      </c>
      <c r="C13" s="30" t="s">
        <v>12</v>
      </c>
      <c r="D13" s="31">
        <v>4407</v>
      </c>
      <c r="E13" s="10">
        <v>65</v>
      </c>
      <c r="F13" s="32">
        <v>71.5</v>
      </c>
      <c r="G13" s="33">
        <v>1.4800000000000001E-2</v>
      </c>
      <c r="H13" s="21">
        <v>4</v>
      </c>
      <c r="I13" s="33">
        <v>6.6199999999999995E-2</v>
      </c>
      <c r="J13" s="30" t="s">
        <v>15</v>
      </c>
      <c r="K13" s="31">
        <v>2631</v>
      </c>
      <c r="L13" s="10">
        <v>56</v>
      </c>
      <c r="M13" s="32">
        <v>136.63999999999999</v>
      </c>
      <c r="N13" s="33">
        <v>2.12E-2</v>
      </c>
      <c r="O13" s="21">
        <v>6</v>
      </c>
      <c r="P13" s="33">
        <v>0.1051</v>
      </c>
    </row>
    <row r="14" spans="2:16" x14ac:dyDescent="0.35">
      <c r="B14" s="11">
        <v>42834</v>
      </c>
      <c r="C14" s="30" t="s">
        <v>12</v>
      </c>
      <c r="D14" s="31">
        <v>5356</v>
      </c>
      <c r="E14" s="10">
        <v>58</v>
      </c>
      <c r="F14" s="32">
        <v>124.69999999999999</v>
      </c>
      <c r="G14" s="33">
        <v>1.0800000000000001E-2</v>
      </c>
      <c r="H14" s="21">
        <v>4</v>
      </c>
      <c r="I14" s="33">
        <v>7.4399999999999994E-2</v>
      </c>
      <c r="J14" s="30" t="s">
        <v>15</v>
      </c>
      <c r="K14" s="31">
        <v>2559</v>
      </c>
      <c r="L14" s="10">
        <v>51</v>
      </c>
      <c r="M14" s="32">
        <v>104.55</v>
      </c>
      <c r="N14" s="33">
        <v>2.01E-2</v>
      </c>
      <c r="O14" s="21">
        <v>5</v>
      </c>
      <c r="P14" s="33">
        <v>0.1013</v>
      </c>
    </row>
    <row r="15" spans="2:16" x14ac:dyDescent="0.35">
      <c r="B15" s="11">
        <v>42835</v>
      </c>
      <c r="C15" s="30" t="s">
        <v>12</v>
      </c>
      <c r="D15" s="31">
        <v>5747</v>
      </c>
      <c r="E15" s="10">
        <v>64</v>
      </c>
      <c r="F15" s="32">
        <v>122.24</v>
      </c>
      <c r="G15" s="33">
        <v>1.12E-2</v>
      </c>
      <c r="H15" s="21">
        <v>4</v>
      </c>
      <c r="I15" s="33">
        <v>6.83E-2</v>
      </c>
      <c r="J15" s="30" t="s">
        <v>15</v>
      </c>
      <c r="K15" s="31">
        <v>2866</v>
      </c>
      <c r="L15" s="10">
        <v>63</v>
      </c>
      <c r="M15" s="32">
        <v>115.92</v>
      </c>
      <c r="N15" s="33">
        <v>2.1899999999999999E-2</v>
      </c>
      <c r="O15" s="21">
        <v>7</v>
      </c>
      <c r="P15" s="33">
        <v>0.1148</v>
      </c>
    </row>
    <row r="16" spans="2:16" x14ac:dyDescent="0.35">
      <c r="B16" s="11">
        <v>42836</v>
      </c>
      <c r="C16" s="30" t="s">
        <v>12</v>
      </c>
      <c r="D16" s="31">
        <v>6970</v>
      </c>
      <c r="E16" s="10">
        <v>82</v>
      </c>
      <c r="F16" s="32">
        <v>153.34</v>
      </c>
      <c r="G16" s="33">
        <v>1.17E-2</v>
      </c>
      <c r="H16" s="21">
        <v>5</v>
      </c>
      <c r="I16" s="33">
        <v>6.3600000000000004E-2</v>
      </c>
      <c r="J16" s="30" t="s">
        <v>15</v>
      </c>
      <c r="K16" s="31">
        <v>2301</v>
      </c>
      <c r="L16" s="10">
        <v>52</v>
      </c>
      <c r="M16" s="32">
        <v>81.12</v>
      </c>
      <c r="N16" s="33">
        <v>2.2700000000000001E-2</v>
      </c>
      <c r="O16" s="21">
        <v>6</v>
      </c>
      <c r="P16" s="33">
        <v>0.1149</v>
      </c>
    </row>
    <row r="17" spans="2:16" x14ac:dyDescent="0.35">
      <c r="B17" s="11">
        <v>42837</v>
      </c>
      <c r="C17" s="30" t="s">
        <v>12</v>
      </c>
      <c r="D17" s="31">
        <v>6320</v>
      </c>
      <c r="E17" s="10">
        <v>92</v>
      </c>
      <c r="F17" s="32">
        <v>98.440000000000012</v>
      </c>
      <c r="G17" s="33">
        <v>1.4500000000000001E-2</v>
      </c>
      <c r="H17" s="21">
        <v>7</v>
      </c>
      <c r="I17" s="33">
        <v>7.1400000000000005E-2</v>
      </c>
      <c r="J17" s="30" t="s">
        <v>15</v>
      </c>
      <c r="K17" s="31">
        <v>2085</v>
      </c>
      <c r="L17" s="10">
        <v>46</v>
      </c>
      <c r="M17" s="32">
        <v>76.819999999999993</v>
      </c>
      <c r="N17" s="33">
        <v>2.1899999999999999E-2</v>
      </c>
      <c r="O17" s="21">
        <v>4</v>
      </c>
      <c r="P17" s="33">
        <v>9.5299999999999996E-2</v>
      </c>
    </row>
    <row r="18" spans="2:16" x14ac:dyDescent="0.35">
      <c r="B18" s="11">
        <v>42838</v>
      </c>
      <c r="C18" s="30" t="s">
        <v>12</v>
      </c>
      <c r="D18" s="31">
        <v>6858</v>
      </c>
      <c r="E18" s="10">
        <v>90</v>
      </c>
      <c r="F18" s="32">
        <v>185.4</v>
      </c>
      <c r="G18" s="33">
        <v>1.3100000000000001E-2</v>
      </c>
      <c r="H18" s="21">
        <v>7</v>
      </c>
      <c r="I18" s="33">
        <v>7.3700000000000002E-2</v>
      </c>
      <c r="J18" s="30" t="s">
        <v>15</v>
      </c>
      <c r="K18" s="31">
        <v>2291</v>
      </c>
      <c r="L18" s="10">
        <v>39</v>
      </c>
      <c r="M18" s="32">
        <v>67.86</v>
      </c>
      <c r="N18" s="33">
        <v>1.7100000000000001E-2</v>
      </c>
      <c r="O18" s="21">
        <v>4</v>
      </c>
      <c r="P18" s="33">
        <v>0.1099</v>
      </c>
    </row>
    <row r="19" spans="2:16" x14ac:dyDescent="0.35">
      <c r="B19" s="11">
        <v>42839</v>
      </c>
      <c r="C19" s="30" t="s">
        <v>12</v>
      </c>
      <c r="D19" s="31">
        <v>5874</v>
      </c>
      <c r="E19" s="10">
        <v>75</v>
      </c>
      <c r="F19" s="32">
        <v>97.5</v>
      </c>
      <c r="G19" s="33">
        <v>1.2800000000000001E-2</v>
      </c>
      <c r="H19" s="21">
        <v>5</v>
      </c>
      <c r="I19" s="33">
        <v>6.0600000000000001E-2</v>
      </c>
      <c r="J19" s="30" t="s">
        <v>15</v>
      </c>
      <c r="K19" s="31">
        <v>2682</v>
      </c>
      <c r="L19" s="10">
        <v>45</v>
      </c>
      <c r="M19" s="32">
        <v>103.49999999999999</v>
      </c>
      <c r="N19" s="33">
        <v>1.6899999999999998E-2</v>
      </c>
      <c r="O19" s="21">
        <v>5</v>
      </c>
      <c r="P19" s="33">
        <v>0.1167</v>
      </c>
    </row>
    <row r="20" spans="2:16" x14ac:dyDescent="0.35">
      <c r="B20" s="11">
        <v>42840</v>
      </c>
      <c r="C20" s="30" t="s">
        <v>12</v>
      </c>
      <c r="D20" s="31">
        <v>4050</v>
      </c>
      <c r="E20" s="10">
        <v>49</v>
      </c>
      <c r="F20" s="32">
        <v>92.61</v>
      </c>
      <c r="G20" s="33">
        <v>1.21E-2</v>
      </c>
      <c r="H20" s="21">
        <v>3</v>
      </c>
      <c r="I20" s="33">
        <v>6.3500000000000001E-2</v>
      </c>
      <c r="J20" s="30" t="s">
        <v>15</v>
      </c>
      <c r="K20" s="31">
        <v>2495</v>
      </c>
      <c r="L20" s="10">
        <v>60</v>
      </c>
      <c r="M20" s="32">
        <v>149.4</v>
      </c>
      <c r="N20" s="33">
        <v>2.4E-2</v>
      </c>
      <c r="O20" s="21">
        <v>6</v>
      </c>
      <c r="P20" s="33">
        <v>9.4200000000000006E-2</v>
      </c>
    </row>
    <row r="21" spans="2:16" x14ac:dyDescent="0.35">
      <c r="B21" s="11">
        <v>42841</v>
      </c>
      <c r="C21" s="30" t="s">
        <v>12</v>
      </c>
      <c r="D21" s="31">
        <v>6773</v>
      </c>
      <c r="E21" s="10">
        <v>95</v>
      </c>
      <c r="F21" s="32">
        <v>143.44999999999999</v>
      </c>
      <c r="G21" s="33">
        <v>1.41E-2</v>
      </c>
      <c r="H21" s="21">
        <v>6</v>
      </c>
      <c r="I21" s="33">
        <v>6.54E-2</v>
      </c>
      <c r="J21" s="30" t="s">
        <v>15</v>
      </c>
      <c r="K21" s="31">
        <v>2087</v>
      </c>
      <c r="L21" s="10">
        <v>40</v>
      </c>
      <c r="M21" s="32">
        <v>79.599999999999994</v>
      </c>
      <c r="N21" s="33">
        <v>1.9099999999999999E-2</v>
      </c>
      <c r="O21" s="21">
        <v>4</v>
      </c>
      <c r="P21" s="33">
        <v>0.1013</v>
      </c>
    </row>
    <row r="22" spans="2:16" x14ac:dyDescent="0.35">
      <c r="B22" s="11">
        <v>42842</v>
      </c>
      <c r="C22" s="30" t="s">
        <v>12</v>
      </c>
      <c r="D22" s="31">
        <v>5289</v>
      </c>
      <c r="E22" s="10">
        <v>60</v>
      </c>
      <c r="F22" s="32">
        <v>63.6</v>
      </c>
      <c r="G22" s="33">
        <v>1.14E-2</v>
      </c>
      <c r="H22" s="21">
        <v>4</v>
      </c>
      <c r="I22" s="33">
        <v>7.0599999999999996E-2</v>
      </c>
      <c r="J22" s="30" t="s">
        <v>15</v>
      </c>
      <c r="K22" s="31">
        <v>1348</v>
      </c>
      <c r="L22" s="10">
        <v>20</v>
      </c>
      <c r="M22" s="32">
        <v>36</v>
      </c>
      <c r="N22" s="33">
        <v>1.5100000000000001E-2</v>
      </c>
      <c r="O22" s="21">
        <v>2</v>
      </c>
      <c r="P22" s="33">
        <v>9.1499999999999998E-2</v>
      </c>
    </row>
    <row r="23" spans="2:16" x14ac:dyDescent="0.35">
      <c r="B23" s="11">
        <v>42843</v>
      </c>
      <c r="C23" s="30" t="s">
        <v>12</v>
      </c>
      <c r="D23" s="31">
        <v>5291</v>
      </c>
      <c r="E23" s="10">
        <v>59</v>
      </c>
      <c r="F23" s="32">
        <v>116.23</v>
      </c>
      <c r="G23" s="33">
        <v>1.11E-2</v>
      </c>
      <c r="H23" s="21">
        <v>4</v>
      </c>
      <c r="I23" s="33">
        <v>7.17E-2</v>
      </c>
      <c r="J23" s="30" t="s">
        <v>15</v>
      </c>
      <c r="K23" s="31">
        <v>2506</v>
      </c>
      <c r="L23" s="10">
        <v>59</v>
      </c>
      <c r="M23" s="32">
        <v>134.51999999999998</v>
      </c>
      <c r="N23" s="33">
        <v>2.3400000000000001E-2</v>
      </c>
      <c r="O23" s="21">
        <v>7</v>
      </c>
      <c r="P23" s="33">
        <v>0.1237</v>
      </c>
    </row>
    <row r="24" spans="2:16" x14ac:dyDescent="0.35">
      <c r="B24" s="11">
        <v>42844</v>
      </c>
      <c r="C24" s="30" t="s">
        <v>12</v>
      </c>
      <c r="D24" s="31">
        <v>6598</v>
      </c>
      <c r="E24" s="10">
        <v>74</v>
      </c>
      <c r="F24" s="32">
        <v>93.24</v>
      </c>
      <c r="G24" s="33">
        <v>1.12E-2</v>
      </c>
      <c r="H24" s="21">
        <v>5</v>
      </c>
      <c r="I24" s="33">
        <v>6.88E-2</v>
      </c>
      <c r="J24" s="30" t="s">
        <v>15</v>
      </c>
      <c r="K24" s="31">
        <v>2331</v>
      </c>
      <c r="L24" s="10">
        <v>54</v>
      </c>
      <c r="M24" s="32">
        <v>108</v>
      </c>
      <c r="N24" s="33">
        <v>2.3099999999999999E-2</v>
      </c>
      <c r="O24" s="21">
        <v>7</v>
      </c>
      <c r="P24" s="33">
        <v>0.1227</v>
      </c>
    </row>
    <row r="25" spans="2:16" x14ac:dyDescent="0.35">
      <c r="B25" s="11">
        <v>42845</v>
      </c>
      <c r="C25" s="30" t="s">
        <v>12</v>
      </c>
      <c r="D25" s="31">
        <v>4705</v>
      </c>
      <c r="E25" s="10">
        <v>47</v>
      </c>
      <c r="F25" s="32">
        <v>63.92</v>
      </c>
      <c r="G25" s="33">
        <v>0.01</v>
      </c>
      <c r="H25" s="21">
        <v>3</v>
      </c>
      <c r="I25" s="33">
        <v>6.6799999999999998E-2</v>
      </c>
      <c r="J25" s="30" t="s">
        <v>15</v>
      </c>
      <c r="K25" s="31">
        <v>2714</v>
      </c>
      <c r="L25" s="10">
        <v>58</v>
      </c>
      <c r="M25" s="32">
        <v>104.4</v>
      </c>
      <c r="N25" s="33">
        <v>2.12E-2</v>
      </c>
      <c r="O25" s="21">
        <v>7</v>
      </c>
      <c r="P25" s="33">
        <v>0.1162</v>
      </c>
    </row>
    <row r="26" spans="2:16" x14ac:dyDescent="0.35">
      <c r="B26" s="11">
        <v>42846</v>
      </c>
      <c r="C26" s="30" t="s">
        <v>12</v>
      </c>
      <c r="D26" s="31">
        <v>5931</v>
      </c>
      <c r="E26" s="10">
        <v>88</v>
      </c>
      <c r="F26" s="32">
        <v>135.52000000000001</v>
      </c>
      <c r="G26" s="33">
        <v>1.4800000000000001E-2</v>
      </c>
      <c r="H26" s="21">
        <v>5</v>
      </c>
      <c r="I26" s="33">
        <v>6.1100000000000002E-2</v>
      </c>
      <c r="J26" s="30" t="s">
        <v>15</v>
      </c>
      <c r="K26" s="31">
        <v>2290</v>
      </c>
      <c r="L26" s="10">
        <v>34</v>
      </c>
      <c r="M26" s="32">
        <v>77.86</v>
      </c>
      <c r="N26" s="33">
        <v>1.4800000000000001E-2</v>
      </c>
      <c r="O26" s="21">
        <v>4</v>
      </c>
      <c r="P26" s="33">
        <v>0.114</v>
      </c>
    </row>
    <row r="27" spans="2:16" x14ac:dyDescent="0.35">
      <c r="B27" s="11">
        <v>42847</v>
      </c>
      <c r="C27" s="30" t="s">
        <v>12</v>
      </c>
      <c r="D27" s="31">
        <v>4895</v>
      </c>
      <c r="E27" s="10">
        <v>51</v>
      </c>
      <c r="F27" s="32">
        <v>70.89</v>
      </c>
      <c r="G27" s="33">
        <v>1.0500000000000001E-2</v>
      </c>
      <c r="H27" s="21">
        <v>4</v>
      </c>
      <c r="I27" s="33">
        <v>6.9599999999999995E-2</v>
      </c>
      <c r="J27" s="30" t="s">
        <v>15</v>
      </c>
      <c r="K27" s="31">
        <v>2530</v>
      </c>
      <c r="L27" s="10">
        <v>36</v>
      </c>
      <c r="M27" s="32">
        <v>68.399999999999991</v>
      </c>
      <c r="N27" s="33">
        <v>1.4200000000000001E-2</v>
      </c>
      <c r="O27" s="21">
        <v>4</v>
      </c>
      <c r="P27" s="33">
        <v>0.11990000000000001</v>
      </c>
    </row>
    <row r="28" spans="2:16" x14ac:dyDescent="0.35">
      <c r="B28" s="11">
        <v>42848</v>
      </c>
      <c r="C28" s="30" t="s">
        <v>12</v>
      </c>
      <c r="D28" s="31">
        <v>4877</v>
      </c>
      <c r="E28" s="10">
        <v>57</v>
      </c>
      <c r="F28" s="32">
        <v>72.39</v>
      </c>
      <c r="G28" s="33">
        <v>1.1599999999999999E-2</v>
      </c>
      <c r="H28" s="21">
        <v>4</v>
      </c>
      <c r="I28" s="33">
        <v>7.4200000000000002E-2</v>
      </c>
      <c r="J28" s="30" t="s">
        <v>15</v>
      </c>
      <c r="K28" s="31">
        <v>1222</v>
      </c>
      <c r="L28" s="10">
        <v>20</v>
      </c>
      <c r="M28" s="32">
        <v>37.599999999999994</v>
      </c>
      <c r="N28" s="33">
        <v>1.66E-2</v>
      </c>
      <c r="O28" s="21">
        <v>2</v>
      </c>
      <c r="P28" s="33">
        <v>9.5100000000000004E-2</v>
      </c>
    </row>
    <row r="29" spans="2:16" x14ac:dyDescent="0.35">
      <c r="B29" s="11">
        <v>42849</v>
      </c>
      <c r="C29" s="30" t="s">
        <v>12</v>
      </c>
      <c r="D29" s="31">
        <v>4593</v>
      </c>
      <c r="E29" s="10">
        <v>62</v>
      </c>
      <c r="F29" s="32">
        <v>127.1</v>
      </c>
      <c r="G29" s="33">
        <v>1.3599999999999999E-2</v>
      </c>
      <c r="H29" s="21">
        <v>4</v>
      </c>
      <c r="I29" s="33">
        <v>6.8400000000000002E-2</v>
      </c>
      <c r="J29" s="30" t="s">
        <v>15</v>
      </c>
      <c r="K29" s="31">
        <v>2147</v>
      </c>
      <c r="L29" s="10">
        <v>51</v>
      </c>
      <c r="M29" s="32">
        <v>118.32</v>
      </c>
      <c r="N29" s="33">
        <v>2.3900000000000001E-2</v>
      </c>
      <c r="O29" s="21">
        <v>6</v>
      </c>
      <c r="P29" s="33">
        <v>0.11509999999999999</v>
      </c>
    </row>
    <row r="30" spans="2:16" x14ac:dyDescent="0.35">
      <c r="B30" s="11">
        <v>42850</v>
      </c>
      <c r="C30" s="30" t="s">
        <v>12</v>
      </c>
      <c r="D30" s="31">
        <v>6834</v>
      </c>
      <c r="E30" s="10">
        <v>101</v>
      </c>
      <c r="F30" s="32">
        <v>217.14999999999998</v>
      </c>
      <c r="G30" s="33">
        <v>1.4800000000000001E-2</v>
      </c>
      <c r="H30" s="21">
        <v>7</v>
      </c>
      <c r="I30" s="33">
        <v>7.2599999999999998E-2</v>
      </c>
      <c r="J30" s="30" t="s">
        <v>15</v>
      </c>
      <c r="K30" s="31">
        <v>2566</v>
      </c>
      <c r="L30" s="10">
        <v>52</v>
      </c>
      <c r="M30" s="32">
        <v>113.88</v>
      </c>
      <c r="N30" s="33">
        <v>2.01E-2</v>
      </c>
      <c r="O30" s="21">
        <v>6</v>
      </c>
      <c r="P30" s="33">
        <v>0.12379999999999999</v>
      </c>
    </row>
    <row r="31" spans="2:16" x14ac:dyDescent="0.35">
      <c r="B31" s="11">
        <v>42851</v>
      </c>
      <c r="C31" s="30" t="s">
        <v>12</v>
      </c>
      <c r="D31" s="31">
        <v>6894</v>
      </c>
      <c r="E31" s="10">
        <v>63</v>
      </c>
      <c r="F31" s="32">
        <v>102.69</v>
      </c>
      <c r="G31" s="33">
        <v>9.1000000000000004E-3</v>
      </c>
      <c r="H31" s="21">
        <v>4</v>
      </c>
      <c r="I31" s="33">
        <v>6.0900000000000003E-2</v>
      </c>
      <c r="J31" s="30" t="s">
        <v>15</v>
      </c>
      <c r="K31" s="31">
        <v>1085</v>
      </c>
      <c r="L31" s="10">
        <v>23</v>
      </c>
      <c r="M31" s="32">
        <v>52.44</v>
      </c>
      <c r="N31" s="33">
        <v>2.0899999999999998E-2</v>
      </c>
      <c r="O31" s="21">
        <v>2</v>
      </c>
      <c r="P31" s="33">
        <v>0.1076</v>
      </c>
    </row>
    <row r="32" spans="2:16" x14ac:dyDescent="0.35">
      <c r="B32" s="11">
        <v>42852</v>
      </c>
      <c r="C32" s="30" t="s">
        <v>12</v>
      </c>
      <c r="D32" s="31">
        <v>6619</v>
      </c>
      <c r="E32" s="10">
        <v>60</v>
      </c>
      <c r="F32" s="32">
        <v>124.80000000000001</v>
      </c>
      <c r="G32" s="33">
        <v>9.1000000000000004E-3</v>
      </c>
      <c r="H32" s="21">
        <v>4</v>
      </c>
      <c r="I32" s="33">
        <v>6.7699999999999996E-2</v>
      </c>
      <c r="J32" s="30" t="s">
        <v>15</v>
      </c>
      <c r="K32" s="31">
        <v>1806</v>
      </c>
      <c r="L32" s="10">
        <v>25</v>
      </c>
      <c r="M32" s="32">
        <v>54.25</v>
      </c>
      <c r="N32" s="33">
        <v>1.4E-2</v>
      </c>
      <c r="O32" s="21">
        <v>3</v>
      </c>
      <c r="P32" s="33">
        <v>0.1045</v>
      </c>
    </row>
    <row r="33" spans="2:16" x14ac:dyDescent="0.35">
      <c r="B33" s="11">
        <v>42853</v>
      </c>
      <c r="C33" s="30" t="s">
        <v>12</v>
      </c>
      <c r="D33" s="31">
        <v>5232</v>
      </c>
      <c r="E33" s="10">
        <v>52</v>
      </c>
      <c r="F33" s="32">
        <v>104</v>
      </c>
      <c r="G33" s="33">
        <v>0.01</v>
      </c>
      <c r="H33" s="21">
        <v>3</v>
      </c>
      <c r="I33" s="33">
        <v>6.0600000000000001E-2</v>
      </c>
      <c r="J33" s="30" t="s">
        <v>15</v>
      </c>
      <c r="K33" s="31">
        <v>1658</v>
      </c>
      <c r="L33" s="10">
        <v>21</v>
      </c>
      <c r="M33" s="32">
        <v>46.83</v>
      </c>
      <c r="N33" s="33">
        <v>1.2500000000000001E-2</v>
      </c>
      <c r="O33" s="21">
        <v>2</v>
      </c>
      <c r="P33" s="33">
        <v>0.1004</v>
      </c>
    </row>
    <row r="34" spans="2:16" x14ac:dyDescent="0.35">
      <c r="B34" s="11">
        <v>42854</v>
      </c>
      <c r="C34" s="30" t="s">
        <v>12</v>
      </c>
      <c r="D34" s="31">
        <v>5047</v>
      </c>
      <c r="E34" s="10">
        <v>69</v>
      </c>
      <c r="F34" s="32">
        <v>114.53999999999999</v>
      </c>
      <c r="G34" s="33">
        <v>1.37E-2</v>
      </c>
      <c r="H34" s="21">
        <v>4</v>
      </c>
      <c r="I34" s="33">
        <v>6.4500000000000002E-2</v>
      </c>
      <c r="J34" s="30" t="s">
        <v>15</v>
      </c>
      <c r="K34" s="31">
        <v>1284</v>
      </c>
      <c r="L34" s="10">
        <v>23</v>
      </c>
      <c r="M34" s="32">
        <v>45.54</v>
      </c>
      <c r="N34" s="33">
        <v>1.8100000000000002E-2</v>
      </c>
      <c r="O34" s="21">
        <v>2</v>
      </c>
      <c r="P34" s="33">
        <v>9.4799999999999995E-2</v>
      </c>
    </row>
    <row r="35" spans="2:16" x14ac:dyDescent="0.35">
      <c r="B35" s="11">
        <v>42855</v>
      </c>
      <c r="C35" s="30" t="s">
        <v>12</v>
      </c>
      <c r="D35" s="31">
        <v>4015</v>
      </c>
      <c r="E35" s="10">
        <v>57</v>
      </c>
      <c r="F35" s="32">
        <v>96.33</v>
      </c>
      <c r="G35" s="33">
        <v>1.4200000000000001E-2</v>
      </c>
      <c r="H35" s="21">
        <v>4</v>
      </c>
      <c r="I35" s="33">
        <v>6.4799999999999996E-2</v>
      </c>
      <c r="J35" s="30" t="s">
        <v>15</v>
      </c>
      <c r="K35" s="31">
        <v>1903</v>
      </c>
      <c r="L35" s="10">
        <v>38</v>
      </c>
      <c r="M35" s="32">
        <v>71.44</v>
      </c>
      <c r="N35" s="33">
        <v>2.0199999999999999E-2</v>
      </c>
      <c r="O35" s="21">
        <v>4</v>
      </c>
      <c r="P35" s="33">
        <v>0.1104</v>
      </c>
    </row>
    <row r="36" spans="2:16" x14ac:dyDescent="0.35">
      <c r="B36" s="11">
        <v>42856</v>
      </c>
      <c r="C36" s="30" t="s">
        <v>13</v>
      </c>
      <c r="D36" s="31">
        <v>5506</v>
      </c>
      <c r="E36" s="10">
        <v>83</v>
      </c>
      <c r="F36" s="32">
        <v>139.44</v>
      </c>
      <c r="G36" s="33">
        <v>1.4999999999999999E-2</v>
      </c>
      <c r="H36" s="21">
        <v>6</v>
      </c>
      <c r="I36" s="33">
        <v>7.4999999999999997E-2</v>
      </c>
      <c r="J36" s="30" t="s">
        <v>16</v>
      </c>
      <c r="K36" s="31">
        <v>2357</v>
      </c>
      <c r="L36" s="10">
        <v>37</v>
      </c>
      <c r="M36" s="32">
        <v>83.61999999999999</v>
      </c>
      <c r="N36" s="33">
        <v>1.5800000000000002E-2</v>
      </c>
      <c r="O36" s="21">
        <v>4</v>
      </c>
      <c r="P36" s="33">
        <v>0.1021</v>
      </c>
    </row>
    <row r="37" spans="2:16" x14ac:dyDescent="0.35">
      <c r="B37" s="11">
        <v>42857</v>
      </c>
      <c r="C37" s="30" t="s">
        <v>13</v>
      </c>
      <c r="D37" s="31">
        <v>6451</v>
      </c>
      <c r="E37" s="10">
        <v>77</v>
      </c>
      <c r="F37" s="32">
        <v>96.25</v>
      </c>
      <c r="G37" s="33">
        <v>1.2E-2</v>
      </c>
      <c r="H37" s="21">
        <v>6</v>
      </c>
      <c r="I37" s="33">
        <v>7.4399999999999994E-2</v>
      </c>
      <c r="J37" s="30" t="s">
        <v>16</v>
      </c>
      <c r="K37" s="31">
        <v>1668</v>
      </c>
      <c r="L37" s="10">
        <v>29</v>
      </c>
      <c r="M37" s="32">
        <v>64.38000000000001</v>
      </c>
      <c r="N37" s="33">
        <v>1.7500000000000002E-2</v>
      </c>
      <c r="O37" s="21">
        <v>3</v>
      </c>
      <c r="P37" s="33">
        <v>0.11169999999999999</v>
      </c>
    </row>
    <row r="38" spans="2:16" x14ac:dyDescent="0.35">
      <c r="B38" s="11">
        <v>42858</v>
      </c>
      <c r="C38" s="30" t="s">
        <v>13</v>
      </c>
      <c r="D38" s="31">
        <v>5347</v>
      </c>
      <c r="E38" s="10">
        <v>65</v>
      </c>
      <c r="F38" s="32">
        <v>132.6</v>
      </c>
      <c r="G38" s="33">
        <v>1.2200000000000001E-2</v>
      </c>
      <c r="H38" s="21">
        <v>4</v>
      </c>
      <c r="I38" s="33">
        <v>6.83E-2</v>
      </c>
      <c r="J38" s="30" t="s">
        <v>16</v>
      </c>
      <c r="K38" s="31">
        <v>2886</v>
      </c>
      <c r="L38" s="10">
        <v>42</v>
      </c>
      <c r="M38" s="32">
        <v>76.02</v>
      </c>
      <c r="N38" s="33">
        <v>1.46E-2</v>
      </c>
      <c r="O38" s="21">
        <v>4</v>
      </c>
      <c r="P38" s="33">
        <v>9.4600000000000004E-2</v>
      </c>
    </row>
    <row r="39" spans="2:16" x14ac:dyDescent="0.35">
      <c r="B39" s="11">
        <v>42859</v>
      </c>
      <c r="C39" s="30" t="s">
        <v>13</v>
      </c>
      <c r="D39" s="31">
        <v>5626</v>
      </c>
      <c r="E39" s="10">
        <v>59</v>
      </c>
      <c r="F39" s="32">
        <v>96.759999999999991</v>
      </c>
      <c r="G39" s="33">
        <v>1.0500000000000001E-2</v>
      </c>
      <c r="H39" s="21">
        <v>4</v>
      </c>
      <c r="I39" s="33">
        <v>7.1199999999999999E-2</v>
      </c>
      <c r="J39" s="30" t="s">
        <v>16</v>
      </c>
      <c r="K39" s="31">
        <v>1938</v>
      </c>
      <c r="L39" s="10">
        <v>45</v>
      </c>
      <c r="M39" s="32">
        <v>105.3</v>
      </c>
      <c r="N39" s="33">
        <v>2.3300000000000001E-2</v>
      </c>
      <c r="O39" s="21">
        <v>5</v>
      </c>
      <c r="P39" s="33">
        <v>0.1186</v>
      </c>
    </row>
    <row r="40" spans="2:16" x14ac:dyDescent="0.35">
      <c r="B40" s="11">
        <v>42860</v>
      </c>
      <c r="C40" s="30" t="s">
        <v>13</v>
      </c>
      <c r="D40" s="31">
        <v>4347</v>
      </c>
      <c r="E40" s="10">
        <v>53</v>
      </c>
      <c r="F40" s="32">
        <v>93.81</v>
      </c>
      <c r="G40" s="33">
        <v>1.21E-2</v>
      </c>
      <c r="H40" s="21">
        <v>3</v>
      </c>
      <c r="I40" s="33">
        <v>6.4299999999999996E-2</v>
      </c>
      <c r="J40" s="30" t="s">
        <v>16</v>
      </c>
      <c r="K40" s="31">
        <v>2088</v>
      </c>
      <c r="L40" s="10">
        <v>42</v>
      </c>
      <c r="M40" s="32">
        <v>86.1</v>
      </c>
      <c r="N40" s="33">
        <v>2.0299999999999999E-2</v>
      </c>
      <c r="O40" s="21">
        <v>4</v>
      </c>
      <c r="P40" s="33">
        <v>9.5399999999999999E-2</v>
      </c>
    </row>
    <row r="41" spans="2:16" x14ac:dyDescent="0.35">
      <c r="B41" s="11">
        <v>42861</v>
      </c>
      <c r="C41" s="30" t="s">
        <v>13</v>
      </c>
      <c r="D41" s="31">
        <v>4454</v>
      </c>
      <c r="E41" s="10">
        <v>35</v>
      </c>
      <c r="F41" s="32">
        <v>68.599999999999994</v>
      </c>
      <c r="G41" s="33">
        <v>7.7999999999999996E-3</v>
      </c>
      <c r="H41" s="21">
        <v>2</v>
      </c>
      <c r="I41" s="33">
        <v>6.9400000000000003E-2</v>
      </c>
      <c r="J41" s="30" t="s">
        <v>16</v>
      </c>
      <c r="K41" s="31">
        <v>1890</v>
      </c>
      <c r="L41" s="10">
        <v>35</v>
      </c>
      <c r="M41" s="32">
        <v>67.899999999999991</v>
      </c>
      <c r="N41" s="33">
        <v>1.83E-2</v>
      </c>
      <c r="O41" s="21">
        <v>3</v>
      </c>
      <c r="P41" s="33">
        <v>9.2999999999999999E-2</v>
      </c>
    </row>
    <row r="42" spans="2:16" x14ac:dyDescent="0.35">
      <c r="B42" s="11">
        <v>42862</v>
      </c>
      <c r="C42" s="30" t="s">
        <v>13</v>
      </c>
      <c r="D42" s="31">
        <v>4586</v>
      </c>
      <c r="E42" s="10">
        <v>64</v>
      </c>
      <c r="F42" s="32">
        <v>69.760000000000005</v>
      </c>
      <c r="G42" s="33">
        <v>1.3899999999999999E-2</v>
      </c>
      <c r="H42" s="21">
        <v>4</v>
      </c>
      <c r="I42" s="33">
        <v>6.7100000000000007E-2</v>
      </c>
      <c r="J42" s="30" t="s">
        <v>16</v>
      </c>
      <c r="K42" s="31">
        <v>1068</v>
      </c>
      <c r="L42" s="10">
        <v>18</v>
      </c>
      <c r="M42" s="32">
        <v>37.44</v>
      </c>
      <c r="N42" s="33">
        <v>1.6899999999999998E-2</v>
      </c>
      <c r="O42" s="21">
        <v>2</v>
      </c>
      <c r="P42" s="33">
        <v>9.9400000000000002E-2</v>
      </c>
    </row>
    <row r="43" spans="2:16" x14ac:dyDescent="0.35">
      <c r="B43" s="11">
        <v>42863</v>
      </c>
      <c r="C43" s="30" t="s">
        <v>13</v>
      </c>
      <c r="D43" s="31">
        <v>4535</v>
      </c>
      <c r="E43" s="10">
        <v>63</v>
      </c>
      <c r="F43" s="32">
        <v>118.44</v>
      </c>
      <c r="G43" s="33">
        <v>1.38E-2</v>
      </c>
      <c r="H43" s="21">
        <v>5</v>
      </c>
      <c r="I43" s="33">
        <v>7.2499999999999995E-2</v>
      </c>
      <c r="J43" s="30" t="s">
        <v>16</v>
      </c>
      <c r="K43" s="31">
        <v>2248</v>
      </c>
      <c r="L43" s="10">
        <v>42</v>
      </c>
      <c r="M43" s="32">
        <v>69.3</v>
      </c>
      <c r="N43" s="33">
        <v>1.8800000000000001E-2</v>
      </c>
      <c r="O43" s="21">
        <v>4</v>
      </c>
      <c r="P43" s="33">
        <v>0.1057</v>
      </c>
    </row>
    <row r="44" spans="2:16" x14ac:dyDescent="0.35">
      <c r="B44" s="11">
        <v>42864</v>
      </c>
      <c r="C44" s="30" t="s">
        <v>13</v>
      </c>
      <c r="D44" s="31">
        <v>6556</v>
      </c>
      <c r="E44" s="10">
        <v>81</v>
      </c>
      <c r="F44" s="32">
        <v>92.339999999999989</v>
      </c>
      <c r="G44" s="33">
        <v>1.24E-2</v>
      </c>
      <c r="H44" s="21">
        <v>6</v>
      </c>
      <c r="I44" s="33">
        <v>7.0099999999999996E-2</v>
      </c>
      <c r="J44" s="30" t="s">
        <v>16</v>
      </c>
      <c r="K44" s="31">
        <v>2899</v>
      </c>
      <c r="L44" s="10">
        <v>54</v>
      </c>
      <c r="M44" s="32">
        <v>83.16</v>
      </c>
      <c r="N44" s="33">
        <v>1.8599999999999998E-2</v>
      </c>
      <c r="O44" s="21">
        <v>7</v>
      </c>
      <c r="P44" s="33">
        <v>0.1242</v>
      </c>
    </row>
    <row r="45" spans="2:16" x14ac:dyDescent="0.35">
      <c r="B45" s="11">
        <v>42865</v>
      </c>
      <c r="C45" s="30" t="s">
        <v>13</v>
      </c>
      <c r="D45" s="31">
        <v>4993</v>
      </c>
      <c r="E45" s="10">
        <v>64</v>
      </c>
      <c r="F45" s="32">
        <v>125.44</v>
      </c>
      <c r="G45" s="33">
        <v>1.2800000000000001E-2</v>
      </c>
      <c r="H45" s="21">
        <v>4</v>
      </c>
      <c r="I45" s="33">
        <v>6.0900000000000003E-2</v>
      </c>
      <c r="J45" s="30" t="s">
        <v>16</v>
      </c>
      <c r="K45" s="31">
        <v>1082</v>
      </c>
      <c r="L45" s="10">
        <v>27</v>
      </c>
      <c r="M45" s="32">
        <v>62.639999999999993</v>
      </c>
      <c r="N45" s="33">
        <v>2.4500000000000001E-2</v>
      </c>
      <c r="O45" s="21">
        <v>3</v>
      </c>
      <c r="P45" s="33">
        <v>0.1207</v>
      </c>
    </row>
    <row r="46" spans="2:16" x14ac:dyDescent="0.35">
      <c r="B46" s="11">
        <v>42866</v>
      </c>
      <c r="C46" s="30" t="s">
        <v>13</v>
      </c>
      <c r="D46" s="31">
        <v>4100</v>
      </c>
      <c r="E46" s="10">
        <v>41</v>
      </c>
      <c r="F46" s="32">
        <v>49.199999999999996</v>
      </c>
      <c r="G46" s="33">
        <v>9.9000000000000008E-3</v>
      </c>
      <c r="H46" s="21">
        <v>3</v>
      </c>
      <c r="I46" s="33">
        <v>6.2300000000000001E-2</v>
      </c>
      <c r="J46" s="30" t="s">
        <v>16</v>
      </c>
      <c r="K46" s="31">
        <v>2491</v>
      </c>
      <c r="L46" s="10">
        <v>59</v>
      </c>
      <c r="M46" s="32">
        <v>106.79</v>
      </c>
      <c r="N46" s="33">
        <v>2.3800000000000002E-2</v>
      </c>
      <c r="O46" s="21">
        <v>7</v>
      </c>
      <c r="P46" s="33">
        <v>0.1118</v>
      </c>
    </row>
    <row r="47" spans="2:16" x14ac:dyDescent="0.35">
      <c r="B47" s="11">
        <v>42867</v>
      </c>
      <c r="C47" s="30" t="s">
        <v>13</v>
      </c>
      <c r="D47" s="31">
        <v>5050</v>
      </c>
      <c r="E47" s="10">
        <v>76</v>
      </c>
      <c r="F47" s="32">
        <v>161.12</v>
      </c>
      <c r="G47" s="33">
        <v>1.4999999999999999E-2</v>
      </c>
      <c r="H47" s="21">
        <v>5</v>
      </c>
      <c r="I47" s="33">
        <v>6.88E-2</v>
      </c>
      <c r="J47" s="30" t="s">
        <v>16</v>
      </c>
      <c r="K47" s="31">
        <v>1092</v>
      </c>
      <c r="L47" s="10">
        <v>14</v>
      </c>
      <c r="M47" s="32">
        <v>32.199999999999996</v>
      </c>
      <c r="N47" s="33">
        <v>1.26E-2</v>
      </c>
      <c r="O47" s="21">
        <v>1</v>
      </c>
      <c r="P47" s="33">
        <v>9.0399999999999994E-2</v>
      </c>
    </row>
    <row r="48" spans="2:16" x14ac:dyDescent="0.35">
      <c r="B48" s="11">
        <v>42868</v>
      </c>
      <c r="C48" s="30" t="s">
        <v>13</v>
      </c>
      <c r="D48" s="31">
        <v>5051</v>
      </c>
      <c r="E48" s="10">
        <v>60</v>
      </c>
      <c r="F48" s="32">
        <v>104.4</v>
      </c>
      <c r="G48" s="33">
        <v>1.18E-2</v>
      </c>
      <c r="H48" s="21">
        <v>4</v>
      </c>
      <c r="I48" s="33">
        <v>7.3099999999999998E-2</v>
      </c>
      <c r="J48" s="30" t="s">
        <v>16</v>
      </c>
      <c r="K48" s="31">
        <v>1893</v>
      </c>
      <c r="L48" s="10">
        <v>44</v>
      </c>
      <c r="M48" s="32">
        <v>97.68</v>
      </c>
      <c r="N48" s="33">
        <v>2.3199999999999998E-2</v>
      </c>
      <c r="O48" s="21">
        <v>5</v>
      </c>
      <c r="P48" s="33">
        <v>0.1145</v>
      </c>
    </row>
    <row r="49" spans="2:16" x14ac:dyDescent="0.35">
      <c r="B49" s="11">
        <v>42869</v>
      </c>
      <c r="C49" s="30" t="s">
        <v>13</v>
      </c>
      <c r="D49" s="31">
        <v>6264</v>
      </c>
      <c r="E49" s="10">
        <v>87</v>
      </c>
      <c r="F49" s="32">
        <v>87.87</v>
      </c>
      <c r="G49" s="33">
        <v>1.3899999999999999E-2</v>
      </c>
      <c r="H49" s="21">
        <v>6</v>
      </c>
      <c r="I49" s="33">
        <v>6.7100000000000007E-2</v>
      </c>
      <c r="J49" s="30" t="s">
        <v>16</v>
      </c>
      <c r="K49" s="31">
        <v>1188</v>
      </c>
      <c r="L49" s="10">
        <v>26</v>
      </c>
      <c r="M49" s="32">
        <v>58.240000000000009</v>
      </c>
      <c r="N49" s="33">
        <v>2.1700000000000001E-2</v>
      </c>
      <c r="O49" s="21">
        <v>3</v>
      </c>
      <c r="P49" s="33">
        <v>0.1187</v>
      </c>
    </row>
    <row r="50" spans="2:16" x14ac:dyDescent="0.35">
      <c r="B50" s="11">
        <v>42870</v>
      </c>
      <c r="C50" s="30" t="s">
        <v>13</v>
      </c>
      <c r="D50" s="31">
        <v>6902</v>
      </c>
      <c r="E50" s="10">
        <v>57</v>
      </c>
      <c r="F50" s="32">
        <v>115.71</v>
      </c>
      <c r="G50" s="33">
        <v>8.3000000000000001E-3</v>
      </c>
      <c r="H50" s="21">
        <v>4</v>
      </c>
      <c r="I50" s="33">
        <v>6.7599999999999993E-2</v>
      </c>
      <c r="J50" s="30" t="s">
        <v>16</v>
      </c>
      <c r="K50" s="31">
        <v>2961</v>
      </c>
      <c r="L50" s="10">
        <v>43</v>
      </c>
      <c r="M50" s="32">
        <v>68.8</v>
      </c>
      <c r="N50" s="33">
        <v>1.44E-2</v>
      </c>
      <c r="O50" s="21">
        <v>5</v>
      </c>
      <c r="P50" s="33">
        <v>0.1201</v>
      </c>
    </row>
    <row r="51" spans="2:16" x14ac:dyDescent="0.35">
      <c r="B51" s="11">
        <v>42871</v>
      </c>
      <c r="C51" s="30" t="s">
        <v>13</v>
      </c>
      <c r="D51" s="31">
        <v>4136</v>
      </c>
      <c r="E51" s="10">
        <v>35</v>
      </c>
      <c r="F51" s="32">
        <v>54.95</v>
      </c>
      <c r="G51" s="33">
        <v>8.5000000000000006E-3</v>
      </c>
      <c r="H51" s="21">
        <v>2</v>
      </c>
      <c r="I51" s="33">
        <v>6.1100000000000002E-2</v>
      </c>
      <c r="J51" s="30" t="s">
        <v>16</v>
      </c>
      <c r="K51" s="31">
        <v>2731</v>
      </c>
      <c r="L51" s="10">
        <v>61</v>
      </c>
      <c r="M51" s="32">
        <v>128.70999999999998</v>
      </c>
      <c r="N51" s="33">
        <v>2.2499999999999999E-2</v>
      </c>
      <c r="O51" s="21">
        <v>6</v>
      </c>
      <c r="P51" s="33">
        <v>9.8299999999999998E-2</v>
      </c>
    </row>
    <row r="52" spans="2:16" x14ac:dyDescent="0.35">
      <c r="B52" s="11">
        <v>42872</v>
      </c>
      <c r="C52" s="30" t="s">
        <v>13</v>
      </c>
      <c r="D52" s="31">
        <v>6078</v>
      </c>
      <c r="E52" s="10">
        <v>57</v>
      </c>
      <c r="F52" s="32">
        <v>125.4</v>
      </c>
      <c r="G52" s="33">
        <v>9.4000000000000004E-3</v>
      </c>
      <c r="H52" s="21">
        <v>4</v>
      </c>
      <c r="I52" s="33">
        <v>6.5799999999999997E-2</v>
      </c>
      <c r="J52" s="30" t="s">
        <v>16</v>
      </c>
      <c r="K52" s="31">
        <v>2077</v>
      </c>
      <c r="L52" s="10">
        <v>51</v>
      </c>
      <c r="M52" s="32">
        <v>119.33999999999999</v>
      </c>
      <c r="N52" s="33">
        <v>2.47E-2</v>
      </c>
      <c r="O52" s="21">
        <v>6</v>
      </c>
      <c r="P52" s="33">
        <v>0.1145</v>
      </c>
    </row>
    <row r="53" spans="2:16" x14ac:dyDescent="0.35">
      <c r="B53" s="11">
        <v>42873</v>
      </c>
      <c r="C53" s="30" t="s">
        <v>13</v>
      </c>
      <c r="D53" s="31">
        <v>6722</v>
      </c>
      <c r="E53" s="10">
        <v>77</v>
      </c>
      <c r="F53" s="32">
        <v>129.35999999999999</v>
      </c>
      <c r="G53" s="33">
        <v>1.14E-2</v>
      </c>
      <c r="H53" s="21">
        <v>5</v>
      </c>
      <c r="I53" s="33">
        <v>6.13E-2</v>
      </c>
      <c r="J53" s="30" t="s">
        <v>16</v>
      </c>
      <c r="K53" s="31">
        <v>1518</v>
      </c>
      <c r="L53" s="10">
        <v>20</v>
      </c>
      <c r="M53" s="32">
        <v>48.8</v>
      </c>
      <c r="N53" s="33">
        <v>1.29E-2</v>
      </c>
      <c r="O53" s="21">
        <v>2</v>
      </c>
      <c r="P53" s="33">
        <v>9.2200000000000004E-2</v>
      </c>
    </row>
    <row r="54" spans="2:16" x14ac:dyDescent="0.35">
      <c r="B54" s="11">
        <v>42874</v>
      </c>
      <c r="C54" s="30" t="s">
        <v>13</v>
      </c>
      <c r="D54" s="31">
        <v>6509</v>
      </c>
      <c r="E54" s="10">
        <v>90</v>
      </c>
      <c r="F54" s="32">
        <v>104.39999999999999</v>
      </c>
      <c r="G54" s="33">
        <v>1.38E-2</v>
      </c>
      <c r="H54" s="21">
        <v>6</v>
      </c>
      <c r="I54" s="33">
        <v>6.1400000000000003E-2</v>
      </c>
      <c r="J54" s="30" t="s">
        <v>16</v>
      </c>
      <c r="K54" s="31">
        <v>1279</v>
      </c>
      <c r="L54" s="10">
        <v>22</v>
      </c>
      <c r="M54" s="32">
        <v>52.14</v>
      </c>
      <c r="N54" s="33">
        <v>1.72E-2</v>
      </c>
      <c r="O54" s="21">
        <v>2</v>
      </c>
      <c r="P54" s="33">
        <v>9.4100000000000003E-2</v>
      </c>
    </row>
    <row r="55" spans="2:16" x14ac:dyDescent="0.35">
      <c r="B55" s="11">
        <v>42875</v>
      </c>
      <c r="C55" s="30" t="s">
        <v>13</v>
      </c>
      <c r="D55" s="31">
        <v>6912</v>
      </c>
      <c r="E55" s="10">
        <v>53</v>
      </c>
      <c r="F55" s="32">
        <v>110.24000000000001</v>
      </c>
      <c r="G55" s="33">
        <v>7.7000000000000002E-3</v>
      </c>
      <c r="H55" s="21">
        <v>4</v>
      </c>
      <c r="I55" s="33">
        <v>6.9000000000000006E-2</v>
      </c>
      <c r="J55" s="30" t="s">
        <v>16</v>
      </c>
      <c r="K55" s="31">
        <v>2898</v>
      </c>
      <c r="L55" s="10">
        <v>52</v>
      </c>
      <c r="M55" s="32">
        <v>123.24000000000001</v>
      </c>
      <c r="N55" s="33">
        <v>1.8100000000000002E-2</v>
      </c>
      <c r="O55" s="21">
        <v>6</v>
      </c>
      <c r="P55" s="33">
        <v>0.1217</v>
      </c>
    </row>
    <row r="56" spans="2:16" x14ac:dyDescent="0.35">
      <c r="B56" s="11">
        <v>42876</v>
      </c>
      <c r="C56" s="30" t="s">
        <v>13</v>
      </c>
      <c r="D56" s="31">
        <v>6528</v>
      </c>
      <c r="E56" s="10">
        <v>87</v>
      </c>
      <c r="F56" s="32">
        <v>129.63</v>
      </c>
      <c r="G56" s="33">
        <v>1.3299999999999999E-2</v>
      </c>
      <c r="H56" s="21">
        <v>5</v>
      </c>
      <c r="I56" s="33">
        <v>6.2399999999999997E-2</v>
      </c>
      <c r="J56" s="30" t="s">
        <v>16</v>
      </c>
      <c r="K56" s="31">
        <v>1071</v>
      </c>
      <c r="L56" s="10">
        <v>16</v>
      </c>
      <c r="M56" s="32">
        <v>34.08</v>
      </c>
      <c r="N56" s="33">
        <v>1.5100000000000001E-2</v>
      </c>
      <c r="O56" s="21">
        <v>2</v>
      </c>
      <c r="P56" s="33">
        <v>0.1074</v>
      </c>
    </row>
    <row r="57" spans="2:16" x14ac:dyDescent="0.35">
      <c r="B57" s="11">
        <v>42877</v>
      </c>
      <c r="C57" s="30" t="s">
        <v>13</v>
      </c>
      <c r="D57" s="31">
        <v>6880</v>
      </c>
      <c r="E57" s="10">
        <v>70</v>
      </c>
      <c r="F57" s="32">
        <v>139.30000000000001</v>
      </c>
      <c r="G57" s="33">
        <v>1.0200000000000001E-2</v>
      </c>
      <c r="H57" s="21">
        <v>5</v>
      </c>
      <c r="I57" s="33">
        <v>7.4899999999999994E-2</v>
      </c>
      <c r="J57" s="30" t="s">
        <v>16</v>
      </c>
      <c r="K57" s="31">
        <v>2661</v>
      </c>
      <c r="L57" s="10">
        <v>52</v>
      </c>
      <c r="M57" s="32">
        <v>111.28</v>
      </c>
      <c r="N57" s="33">
        <v>1.9599999999999999E-2</v>
      </c>
      <c r="O57" s="21">
        <v>5</v>
      </c>
      <c r="P57" s="33">
        <v>0.1045</v>
      </c>
    </row>
    <row r="58" spans="2:16" x14ac:dyDescent="0.35">
      <c r="B58" s="11">
        <v>42878</v>
      </c>
      <c r="C58" s="30" t="s">
        <v>13</v>
      </c>
      <c r="D58" s="31">
        <v>6955</v>
      </c>
      <c r="E58" s="10">
        <v>79</v>
      </c>
      <c r="F58" s="32">
        <v>117.71</v>
      </c>
      <c r="G58" s="33">
        <v>1.14E-2</v>
      </c>
      <c r="H58" s="21">
        <v>6</v>
      </c>
      <c r="I58" s="33">
        <v>7.1599999999999997E-2</v>
      </c>
      <c r="J58" s="30" t="s">
        <v>16</v>
      </c>
      <c r="K58" s="31">
        <v>1762</v>
      </c>
      <c r="L58" s="10">
        <v>42</v>
      </c>
      <c r="M58" s="32">
        <v>64.680000000000007</v>
      </c>
      <c r="N58" s="33">
        <v>2.41E-2</v>
      </c>
      <c r="O58" s="21">
        <v>4</v>
      </c>
      <c r="P58" s="33">
        <v>9.9699999999999997E-2</v>
      </c>
    </row>
    <row r="59" spans="2:16" x14ac:dyDescent="0.35">
      <c r="B59" s="11">
        <v>42879</v>
      </c>
      <c r="C59" s="30" t="s">
        <v>13</v>
      </c>
      <c r="D59" s="31">
        <v>5368</v>
      </c>
      <c r="E59" s="10">
        <v>42</v>
      </c>
      <c r="F59" s="32">
        <v>77.28</v>
      </c>
      <c r="G59" s="33">
        <v>7.9000000000000008E-3</v>
      </c>
      <c r="H59" s="21">
        <v>3</v>
      </c>
      <c r="I59" s="33">
        <v>7.2499999999999995E-2</v>
      </c>
      <c r="J59" s="30" t="s">
        <v>16</v>
      </c>
      <c r="K59" s="31">
        <v>2713</v>
      </c>
      <c r="L59" s="10">
        <v>56</v>
      </c>
      <c r="M59" s="32">
        <v>134.4</v>
      </c>
      <c r="N59" s="33">
        <v>2.06E-2</v>
      </c>
      <c r="O59" s="21">
        <v>7</v>
      </c>
      <c r="P59" s="33">
        <v>0.12230000000000001</v>
      </c>
    </row>
    <row r="60" spans="2:16" x14ac:dyDescent="0.35">
      <c r="B60" s="11">
        <v>42880</v>
      </c>
      <c r="C60" s="30" t="s">
        <v>13</v>
      </c>
      <c r="D60" s="31">
        <v>6698</v>
      </c>
      <c r="E60" s="10">
        <v>74</v>
      </c>
      <c r="F60" s="32">
        <v>162.06</v>
      </c>
      <c r="G60" s="33">
        <v>1.11E-2</v>
      </c>
      <c r="H60" s="21">
        <v>5</v>
      </c>
      <c r="I60" s="33">
        <v>7.4099999999999999E-2</v>
      </c>
      <c r="J60" s="30" t="s">
        <v>16</v>
      </c>
      <c r="K60" s="31">
        <v>2819</v>
      </c>
      <c r="L60" s="10">
        <v>37</v>
      </c>
      <c r="M60" s="32">
        <v>57.72</v>
      </c>
      <c r="N60" s="33">
        <v>1.3100000000000001E-2</v>
      </c>
      <c r="O60" s="21">
        <v>4</v>
      </c>
      <c r="P60" s="33">
        <v>0.12130000000000001</v>
      </c>
    </row>
    <row r="61" spans="2:16" x14ac:dyDescent="0.35">
      <c r="B61" s="11">
        <v>42881</v>
      </c>
      <c r="C61" s="30" t="s">
        <v>13</v>
      </c>
      <c r="D61" s="31">
        <v>5440</v>
      </c>
      <c r="E61" s="10">
        <v>78</v>
      </c>
      <c r="F61" s="32">
        <v>99.84</v>
      </c>
      <c r="G61" s="33">
        <v>1.44E-2</v>
      </c>
      <c r="H61" s="21">
        <v>5</v>
      </c>
      <c r="I61" s="33">
        <v>6.3299999999999995E-2</v>
      </c>
      <c r="J61" s="30" t="s">
        <v>16</v>
      </c>
      <c r="K61" s="31">
        <v>2115</v>
      </c>
      <c r="L61" s="10">
        <v>32</v>
      </c>
      <c r="M61" s="32">
        <v>70.08</v>
      </c>
      <c r="N61" s="33">
        <v>1.5100000000000001E-2</v>
      </c>
      <c r="O61" s="21">
        <v>3</v>
      </c>
      <c r="P61" s="33">
        <v>0.1037</v>
      </c>
    </row>
    <row r="62" spans="2:16" x14ac:dyDescent="0.35">
      <c r="B62" s="11">
        <v>42882</v>
      </c>
      <c r="C62" s="30" t="s">
        <v>13</v>
      </c>
      <c r="D62" s="31">
        <v>4183</v>
      </c>
      <c r="E62" s="10">
        <v>62</v>
      </c>
      <c r="F62" s="32">
        <v>101.05999999999999</v>
      </c>
      <c r="G62" s="33">
        <v>1.49E-2</v>
      </c>
      <c r="H62" s="21">
        <v>4</v>
      </c>
      <c r="I62" s="33">
        <v>6.4899999999999999E-2</v>
      </c>
      <c r="J62" s="30" t="s">
        <v>16</v>
      </c>
      <c r="K62" s="31">
        <v>1419</v>
      </c>
      <c r="L62" s="10">
        <v>32</v>
      </c>
      <c r="M62" s="32">
        <v>64.64</v>
      </c>
      <c r="N62" s="33">
        <v>2.2700000000000001E-2</v>
      </c>
      <c r="O62" s="21">
        <v>3</v>
      </c>
      <c r="P62" s="33">
        <v>0.1043</v>
      </c>
    </row>
    <row r="63" spans="2:16" x14ac:dyDescent="0.35">
      <c r="B63" s="11">
        <v>42883</v>
      </c>
      <c r="C63" s="30" t="s">
        <v>13</v>
      </c>
      <c r="D63" s="31">
        <v>6709</v>
      </c>
      <c r="E63" s="10">
        <v>54</v>
      </c>
      <c r="F63" s="32">
        <v>112.85999999999999</v>
      </c>
      <c r="G63" s="33">
        <v>8.0000000000000002E-3</v>
      </c>
      <c r="H63" s="21">
        <v>4</v>
      </c>
      <c r="I63" s="33">
        <v>6.9000000000000006E-2</v>
      </c>
      <c r="J63" s="30" t="s">
        <v>16</v>
      </c>
      <c r="K63" s="31">
        <v>2316</v>
      </c>
      <c r="L63" s="10">
        <v>54</v>
      </c>
      <c r="M63" s="32">
        <v>116.64000000000001</v>
      </c>
      <c r="N63" s="33">
        <v>2.3300000000000001E-2</v>
      </c>
      <c r="O63" s="21">
        <v>7</v>
      </c>
      <c r="P63" s="33">
        <v>0.1237</v>
      </c>
    </row>
    <row r="64" spans="2:16" x14ac:dyDescent="0.35">
      <c r="B64" s="11">
        <v>42884</v>
      </c>
      <c r="C64" s="30" t="s">
        <v>13</v>
      </c>
      <c r="D64" s="31">
        <v>5918</v>
      </c>
      <c r="E64" s="10">
        <v>46</v>
      </c>
      <c r="F64" s="32">
        <v>57.96</v>
      </c>
      <c r="G64" s="33">
        <v>7.7000000000000002E-3</v>
      </c>
      <c r="H64" s="21">
        <v>3</v>
      </c>
      <c r="I64" s="33">
        <v>7.4800000000000005E-2</v>
      </c>
      <c r="J64" s="30" t="s">
        <v>16</v>
      </c>
      <c r="K64" s="31">
        <v>2777</v>
      </c>
      <c r="L64" s="10">
        <v>48</v>
      </c>
      <c r="M64" s="32">
        <v>96.47999999999999</v>
      </c>
      <c r="N64" s="33">
        <v>1.7399999999999999E-2</v>
      </c>
      <c r="O64" s="21">
        <v>4</v>
      </c>
      <c r="P64" s="33">
        <v>9.1300000000000006E-2</v>
      </c>
    </row>
    <row r="65" spans="2:16" x14ac:dyDescent="0.35">
      <c r="B65" s="11">
        <v>42885</v>
      </c>
      <c r="C65" s="30" t="s">
        <v>13</v>
      </c>
      <c r="D65" s="31">
        <v>5768</v>
      </c>
      <c r="E65" s="10">
        <v>67</v>
      </c>
      <c r="F65" s="32">
        <v>103.85000000000001</v>
      </c>
      <c r="G65" s="33">
        <v>1.1599999999999999E-2</v>
      </c>
      <c r="H65" s="21">
        <v>5</v>
      </c>
      <c r="I65" s="33">
        <v>6.9099999999999995E-2</v>
      </c>
      <c r="J65" s="30" t="s">
        <v>16</v>
      </c>
      <c r="K65" s="31">
        <v>1122</v>
      </c>
      <c r="L65" s="10">
        <v>27</v>
      </c>
      <c r="M65" s="32">
        <v>41.85</v>
      </c>
      <c r="N65" s="33">
        <v>2.3699999999999999E-2</v>
      </c>
      <c r="O65" s="21">
        <v>3</v>
      </c>
      <c r="P65" s="33">
        <v>0.11</v>
      </c>
    </row>
    <row r="66" spans="2:16" x14ac:dyDescent="0.35">
      <c r="B66" s="11">
        <v>42886</v>
      </c>
      <c r="C66" s="30" t="s">
        <v>13</v>
      </c>
      <c r="D66" s="31">
        <v>4910</v>
      </c>
      <c r="E66" s="10">
        <v>56</v>
      </c>
      <c r="F66" s="32">
        <v>59.36</v>
      </c>
      <c r="G66" s="33">
        <v>1.15E-2</v>
      </c>
      <c r="H66" s="21">
        <v>4</v>
      </c>
      <c r="I66" s="33">
        <v>6.7000000000000004E-2</v>
      </c>
      <c r="J66" s="30" t="s">
        <v>16</v>
      </c>
      <c r="K66" s="31">
        <v>2520</v>
      </c>
      <c r="L66" s="10">
        <v>39</v>
      </c>
      <c r="M66" s="32">
        <v>59.28</v>
      </c>
      <c r="N66" s="33">
        <v>1.5599999999999999E-2</v>
      </c>
      <c r="O66" s="21">
        <v>4</v>
      </c>
      <c r="P66" s="33">
        <v>9.2600000000000002E-2</v>
      </c>
    </row>
    <row r="67" spans="2:16" x14ac:dyDescent="0.35">
      <c r="B67" s="11">
        <v>42887</v>
      </c>
      <c r="C67" s="30" t="s">
        <v>14</v>
      </c>
      <c r="D67" s="31">
        <v>4160</v>
      </c>
      <c r="E67" s="10">
        <v>62</v>
      </c>
      <c r="F67" s="32">
        <v>98.58</v>
      </c>
      <c r="G67" s="33">
        <v>1.49E-2</v>
      </c>
      <c r="H67" s="21">
        <v>4</v>
      </c>
      <c r="I67" s="33">
        <v>6.3100000000000003E-2</v>
      </c>
      <c r="J67" s="30" t="s">
        <v>17</v>
      </c>
      <c r="K67" s="31">
        <v>2673</v>
      </c>
      <c r="L67" s="10">
        <v>40</v>
      </c>
      <c r="M67" s="32">
        <v>63.6</v>
      </c>
      <c r="N67" s="33">
        <v>1.4999999999999999E-2</v>
      </c>
      <c r="O67" s="21">
        <v>4</v>
      </c>
      <c r="P67" s="33">
        <v>9.74E-2</v>
      </c>
    </row>
    <row r="68" spans="2:16" x14ac:dyDescent="0.35">
      <c r="B68" s="11">
        <v>42888</v>
      </c>
      <c r="C68" s="30" t="s">
        <v>14</v>
      </c>
      <c r="D68" s="31">
        <v>5284</v>
      </c>
      <c r="E68" s="10">
        <v>52</v>
      </c>
      <c r="F68" s="32">
        <v>76.44</v>
      </c>
      <c r="G68" s="33">
        <v>9.9000000000000008E-3</v>
      </c>
      <c r="H68" s="21">
        <v>4</v>
      </c>
      <c r="I68" s="33">
        <v>6.9900000000000004E-2</v>
      </c>
      <c r="J68" s="30" t="s">
        <v>17</v>
      </c>
      <c r="K68" s="31">
        <v>1632</v>
      </c>
      <c r="L68" s="10">
        <v>28</v>
      </c>
      <c r="M68" s="32">
        <v>54.04</v>
      </c>
      <c r="N68" s="33">
        <v>1.72E-2</v>
      </c>
      <c r="O68" s="21">
        <v>3</v>
      </c>
      <c r="P68" s="33">
        <v>0.1143</v>
      </c>
    </row>
    <row r="69" spans="2:16" x14ac:dyDescent="0.35">
      <c r="B69" s="11">
        <v>42889</v>
      </c>
      <c r="C69" s="30" t="s">
        <v>14</v>
      </c>
      <c r="D69" s="31">
        <v>6939</v>
      </c>
      <c r="E69" s="10">
        <v>56</v>
      </c>
      <c r="F69" s="32">
        <v>63.279999999999994</v>
      </c>
      <c r="G69" s="33">
        <v>8.0999999999999996E-3</v>
      </c>
      <c r="H69" s="21">
        <v>3</v>
      </c>
      <c r="I69" s="33">
        <v>0.06</v>
      </c>
      <c r="J69" s="30" t="s">
        <v>17</v>
      </c>
      <c r="K69" s="31">
        <v>2077</v>
      </c>
      <c r="L69" s="10">
        <v>26</v>
      </c>
      <c r="M69" s="32">
        <v>62.14</v>
      </c>
      <c r="N69" s="33">
        <v>1.2699999999999999E-2</v>
      </c>
      <c r="O69" s="21">
        <v>3</v>
      </c>
      <c r="P69" s="33">
        <v>0.10630000000000001</v>
      </c>
    </row>
    <row r="70" spans="2:16" x14ac:dyDescent="0.35">
      <c r="B70" s="11">
        <v>42890</v>
      </c>
      <c r="C70" s="30" t="s">
        <v>14</v>
      </c>
      <c r="D70" s="31">
        <v>6439</v>
      </c>
      <c r="E70" s="10">
        <v>73</v>
      </c>
      <c r="F70" s="32">
        <v>139.43</v>
      </c>
      <c r="G70" s="33">
        <v>1.14E-2</v>
      </c>
      <c r="H70" s="21">
        <v>4</v>
      </c>
      <c r="I70" s="33">
        <v>6.1400000000000003E-2</v>
      </c>
      <c r="J70" s="30" t="s">
        <v>17</v>
      </c>
      <c r="K70" s="31">
        <v>2742</v>
      </c>
      <c r="L70" s="10">
        <v>38</v>
      </c>
      <c r="M70" s="32">
        <v>59.28</v>
      </c>
      <c r="N70" s="33">
        <v>1.4E-2</v>
      </c>
      <c r="O70" s="21">
        <v>4</v>
      </c>
      <c r="P70" s="33">
        <v>0.1094</v>
      </c>
    </row>
    <row r="71" spans="2:16" x14ac:dyDescent="0.35">
      <c r="B71" s="11">
        <v>42891</v>
      </c>
      <c r="C71" s="30" t="s">
        <v>14</v>
      </c>
      <c r="D71" s="31">
        <v>5966</v>
      </c>
      <c r="E71" s="10">
        <v>88</v>
      </c>
      <c r="F71" s="32">
        <v>95.92</v>
      </c>
      <c r="G71" s="33">
        <v>1.4800000000000001E-2</v>
      </c>
      <c r="H71" s="21">
        <v>7</v>
      </c>
      <c r="I71" s="33">
        <v>7.46E-2</v>
      </c>
      <c r="J71" s="30" t="s">
        <v>17</v>
      </c>
      <c r="K71" s="31">
        <v>2699</v>
      </c>
      <c r="L71" s="10">
        <v>58</v>
      </c>
      <c r="M71" s="32">
        <v>121.80000000000001</v>
      </c>
      <c r="N71" s="33">
        <v>2.1399999999999999E-2</v>
      </c>
      <c r="O71" s="21">
        <v>7</v>
      </c>
      <c r="P71" s="33">
        <v>0.1229</v>
      </c>
    </row>
    <row r="72" spans="2:16" x14ac:dyDescent="0.35">
      <c r="B72" s="11">
        <v>42892</v>
      </c>
      <c r="C72" s="30" t="s">
        <v>14</v>
      </c>
      <c r="D72" s="31">
        <v>6112</v>
      </c>
      <c r="E72" s="10">
        <v>46</v>
      </c>
      <c r="F72" s="32">
        <v>63.94</v>
      </c>
      <c r="G72" s="33">
        <v>7.6E-3</v>
      </c>
      <c r="H72" s="21">
        <v>3</v>
      </c>
      <c r="I72" s="33">
        <v>7.0400000000000004E-2</v>
      </c>
      <c r="J72" s="30" t="s">
        <v>17</v>
      </c>
      <c r="K72" s="31">
        <v>2926</v>
      </c>
      <c r="L72" s="10">
        <v>59</v>
      </c>
      <c r="M72" s="32">
        <v>93.22</v>
      </c>
      <c r="N72" s="33">
        <v>2.0199999999999999E-2</v>
      </c>
      <c r="O72" s="21">
        <v>6</v>
      </c>
      <c r="P72" s="33">
        <v>9.35E-2</v>
      </c>
    </row>
    <row r="73" spans="2:16" x14ac:dyDescent="0.35">
      <c r="B73" s="11">
        <v>42893</v>
      </c>
      <c r="C73" s="30" t="s">
        <v>14</v>
      </c>
      <c r="D73" s="31">
        <v>6993</v>
      </c>
      <c r="E73" s="10">
        <v>99</v>
      </c>
      <c r="F73" s="32">
        <v>181.17000000000002</v>
      </c>
      <c r="G73" s="33">
        <v>1.41E-2</v>
      </c>
      <c r="H73" s="21">
        <v>7</v>
      </c>
      <c r="I73" s="33">
        <v>6.9000000000000006E-2</v>
      </c>
      <c r="J73" s="30" t="s">
        <v>17</v>
      </c>
      <c r="K73" s="31">
        <v>1185</v>
      </c>
      <c r="L73" s="10">
        <v>26</v>
      </c>
      <c r="M73" s="32">
        <v>59.54</v>
      </c>
      <c r="N73" s="33">
        <v>2.18E-2</v>
      </c>
      <c r="O73" s="21">
        <v>3</v>
      </c>
      <c r="P73" s="33">
        <v>0.1118</v>
      </c>
    </row>
    <row r="74" spans="2:16" x14ac:dyDescent="0.35">
      <c r="B74" s="11">
        <v>42894</v>
      </c>
      <c r="C74" s="30" t="s">
        <v>14</v>
      </c>
      <c r="D74" s="31">
        <v>6039</v>
      </c>
      <c r="E74" s="10">
        <v>64</v>
      </c>
      <c r="F74" s="32">
        <v>66.56</v>
      </c>
      <c r="G74" s="33">
        <v>1.06E-2</v>
      </c>
      <c r="H74" s="21">
        <v>4</v>
      </c>
      <c r="I74" s="33">
        <v>6.1499999999999999E-2</v>
      </c>
      <c r="J74" s="30" t="s">
        <v>17</v>
      </c>
      <c r="K74" s="31">
        <v>1006</v>
      </c>
      <c r="L74" s="10">
        <v>21</v>
      </c>
      <c r="M74" s="32">
        <v>48.3</v>
      </c>
      <c r="N74" s="33">
        <v>2.0799999999999999E-2</v>
      </c>
      <c r="O74" s="21">
        <v>2</v>
      </c>
      <c r="P74" s="33">
        <v>0.1072</v>
      </c>
    </row>
    <row r="75" spans="2:16" x14ac:dyDescent="0.35">
      <c r="B75" s="11">
        <v>42895</v>
      </c>
      <c r="C75" s="30" t="s">
        <v>14</v>
      </c>
      <c r="D75" s="31">
        <v>5736</v>
      </c>
      <c r="E75" s="10">
        <v>54</v>
      </c>
      <c r="F75" s="32">
        <v>84.240000000000009</v>
      </c>
      <c r="G75" s="33">
        <v>9.4000000000000004E-3</v>
      </c>
      <c r="H75" s="21">
        <v>4</v>
      </c>
      <c r="I75" s="33">
        <v>7.0999999999999994E-2</v>
      </c>
      <c r="J75" s="30" t="s">
        <v>17</v>
      </c>
      <c r="K75" s="31">
        <v>2289</v>
      </c>
      <c r="L75" s="10">
        <v>43</v>
      </c>
      <c r="M75" s="32">
        <v>99.33</v>
      </c>
      <c r="N75" s="33">
        <v>1.89E-2</v>
      </c>
      <c r="O75" s="21">
        <v>4</v>
      </c>
      <c r="P75" s="33">
        <v>0.1043</v>
      </c>
    </row>
    <row r="76" spans="2:16" x14ac:dyDescent="0.35">
      <c r="B76" s="11">
        <v>42896</v>
      </c>
      <c r="C76" s="30" t="s">
        <v>14</v>
      </c>
      <c r="D76" s="31">
        <v>4751</v>
      </c>
      <c r="E76" s="10">
        <v>49</v>
      </c>
      <c r="F76" s="32">
        <v>102.9</v>
      </c>
      <c r="G76" s="33">
        <v>1.04E-2</v>
      </c>
      <c r="H76" s="21">
        <v>4</v>
      </c>
      <c r="I76" s="33">
        <v>7.3599999999999999E-2</v>
      </c>
      <c r="J76" s="30" t="s">
        <v>17</v>
      </c>
      <c r="K76" s="31">
        <v>1883</v>
      </c>
      <c r="L76" s="10">
        <v>40</v>
      </c>
      <c r="M76" s="32">
        <v>72</v>
      </c>
      <c r="N76" s="33">
        <v>2.1499999999999998E-2</v>
      </c>
      <c r="O76" s="21">
        <v>4</v>
      </c>
      <c r="P76" s="33">
        <v>9.1700000000000004E-2</v>
      </c>
    </row>
    <row r="77" spans="2:16" x14ac:dyDescent="0.35">
      <c r="B77" s="11">
        <v>42897</v>
      </c>
      <c r="C77" s="30" t="s">
        <v>14</v>
      </c>
      <c r="D77" s="31">
        <v>6772</v>
      </c>
      <c r="E77" s="10">
        <v>60</v>
      </c>
      <c r="F77" s="32">
        <v>88.2</v>
      </c>
      <c r="G77" s="33">
        <v>8.8999999999999999E-3</v>
      </c>
      <c r="H77" s="21">
        <v>4</v>
      </c>
      <c r="I77" s="33">
        <v>6.0600000000000001E-2</v>
      </c>
      <c r="J77" s="30" t="s">
        <v>17</v>
      </c>
      <c r="K77" s="31">
        <v>2934</v>
      </c>
      <c r="L77" s="10">
        <v>47</v>
      </c>
      <c r="M77" s="32">
        <v>103.87</v>
      </c>
      <c r="N77" s="33">
        <v>1.5900000000000001E-2</v>
      </c>
      <c r="O77" s="21">
        <v>5</v>
      </c>
      <c r="P77" s="33">
        <v>9.64E-2</v>
      </c>
    </row>
    <row r="78" spans="2:16" x14ac:dyDescent="0.35">
      <c r="B78" s="11">
        <v>42898</v>
      </c>
      <c r="C78" s="30" t="s">
        <v>14</v>
      </c>
      <c r="D78" s="31">
        <v>6892</v>
      </c>
      <c r="E78" s="10">
        <v>78</v>
      </c>
      <c r="F78" s="32">
        <v>163.01999999999998</v>
      </c>
      <c r="G78" s="33">
        <v>1.1299999999999999E-2</v>
      </c>
      <c r="H78" s="21">
        <v>5</v>
      </c>
      <c r="I78" s="33">
        <v>6.5299999999999997E-2</v>
      </c>
      <c r="J78" s="30" t="s">
        <v>17</v>
      </c>
      <c r="K78" s="31">
        <v>1490</v>
      </c>
      <c r="L78" s="10">
        <v>30</v>
      </c>
      <c r="M78" s="32">
        <v>66.900000000000006</v>
      </c>
      <c r="N78" s="33">
        <v>2.01E-2</v>
      </c>
      <c r="O78" s="21">
        <v>4</v>
      </c>
      <c r="P78" s="33">
        <v>0.12180000000000001</v>
      </c>
    </row>
    <row r="79" spans="2:16" x14ac:dyDescent="0.35">
      <c r="B79" s="11">
        <v>42899</v>
      </c>
      <c r="C79" s="30" t="s">
        <v>14</v>
      </c>
      <c r="D79" s="31">
        <v>4049</v>
      </c>
      <c r="E79" s="10">
        <v>61</v>
      </c>
      <c r="F79" s="32">
        <v>63.440000000000005</v>
      </c>
      <c r="G79" s="33">
        <v>1.4999999999999999E-2</v>
      </c>
      <c r="H79" s="21">
        <v>4</v>
      </c>
      <c r="I79" s="33">
        <v>6.2700000000000006E-2</v>
      </c>
      <c r="J79" s="30" t="s">
        <v>17</v>
      </c>
      <c r="K79" s="31">
        <v>1427</v>
      </c>
      <c r="L79" s="10">
        <v>21</v>
      </c>
      <c r="M79" s="32">
        <v>52.290000000000006</v>
      </c>
      <c r="N79" s="33">
        <v>1.44E-2</v>
      </c>
      <c r="O79" s="21">
        <v>2</v>
      </c>
      <c r="P79" s="33">
        <v>9.4100000000000003E-2</v>
      </c>
    </row>
    <row r="80" spans="2:16" x14ac:dyDescent="0.35">
      <c r="B80" s="11">
        <v>42900</v>
      </c>
      <c r="C80" s="30" t="s">
        <v>14</v>
      </c>
      <c r="D80" s="31">
        <v>6856</v>
      </c>
      <c r="E80" s="10">
        <v>59</v>
      </c>
      <c r="F80" s="32">
        <v>68.44</v>
      </c>
      <c r="G80" s="33">
        <v>8.6E-3</v>
      </c>
      <c r="H80" s="21">
        <v>4</v>
      </c>
      <c r="I80" s="33">
        <v>6.4100000000000004E-2</v>
      </c>
      <c r="J80" s="30" t="s">
        <v>17</v>
      </c>
      <c r="K80" s="31">
        <v>2100</v>
      </c>
      <c r="L80" s="10">
        <v>42</v>
      </c>
      <c r="M80" s="32">
        <v>71.399999999999991</v>
      </c>
      <c r="N80" s="33">
        <v>2.01E-2</v>
      </c>
      <c r="O80" s="21">
        <v>4</v>
      </c>
      <c r="P80" s="33">
        <v>0.1071</v>
      </c>
    </row>
    <row r="81" spans="2:16" x14ac:dyDescent="0.35">
      <c r="B81" s="11">
        <v>42901</v>
      </c>
      <c r="C81" s="30" t="s">
        <v>14</v>
      </c>
      <c r="D81" s="31">
        <v>4201</v>
      </c>
      <c r="E81" s="10">
        <v>36</v>
      </c>
      <c r="F81" s="32">
        <v>79.92</v>
      </c>
      <c r="G81" s="33">
        <v>8.5000000000000006E-3</v>
      </c>
      <c r="H81" s="21">
        <v>2</v>
      </c>
      <c r="I81" s="33">
        <v>6.54E-2</v>
      </c>
      <c r="J81" s="30" t="s">
        <v>17</v>
      </c>
      <c r="K81" s="31">
        <v>1984</v>
      </c>
      <c r="L81" s="10">
        <v>38</v>
      </c>
      <c r="M81" s="32">
        <v>70.680000000000007</v>
      </c>
      <c r="N81" s="33">
        <v>1.9300000000000001E-2</v>
      </c>
      <c r="O81" s="21">
        <v>4</v>
      </c>
      <c r="P81" s="33">
        <v>0.1159</v>
      </c>
    </row>
    <row r="82" spans="2:16" x14ac:dyDescent="0.35">
      <c r="B82" s="11">
        <v>42902</v>
      </c>
      <c r="C82" s="30" t="s">
        <v>14</v>
      </c>
      <c r="D82" s="31">
        <v>4628</v>
      </c>
      <c r="E82" s="10">
        <v>53</v>
      </c>
      <c r="F82" s="32">
        <v>86.39</v>
      </c>
      <c r="G82" s="33">
        <v>1.14E-2</v>
      </c>
      <c r="H82" s="21">
        <v>3</v>
      </c>
      <c r="I82" s="33">
        <v>6.1800000000000001E-2</v>
      </c>
      <c r="J82" s="30" t="s">
        <v>17</v>
      </c>
      <c r="K82" s="31">
        <v>1598</v>
      </c>
      <c r="L82" s="10">
        <v>28</v>
      </c>
      <c r="M82" s="32">
        <v>66.92</v>
      </c>
      <c r="N82" s="33">
        <v>1.78E-2</v>
      </c>
      <c r="O82" s="21">
        <v>3</v>
      </c>
      <c r="P82" s="33">
        <v>0.1009</v>
      </c>
    </row>
    <row r="83" spans="2:16" x14ac:dyDescent="0.35">
      <c r="B83" s="11">
        <v>42903</v>
      </c>
      <c r="C83" s="30" t="s">
        <v>14</v>
      </c>
      <c r="D83" s="31">
        <v>4140</v>
      </c>
      <c r="E83" s="10">
        <v>52</v>
      </c>
      <c r="F83" s="32">
        <v>75.399999999999991</v>
      </c>
      <c r="G83" s="33">
        <v>1.26E-2</v>
      </c>
      <c r="H83" s="21">
        <v>4</v>
      </c>
      <c r="I83" s="33">
        <v>7.0599999999999996E-2</v>
      </c>
      <c r="J83" s="30" t="s">
        <v>17</v>
      </c>
      <c r="K83" s="31">
        <v>2834</v>
      </c>
      <c r="L83" s="10">
        <v>66</v>
      </c>
      <c r="M83" s="32">
        <v>143.88000000000002</v>
      </c>
      <c r="N83" s="33">
        <v>2.3199999999999998E-2</v>
      </c>
      <c r="O83" s="21">
        <v>7</v>
      </c>
      <c r="P83" s="33">
        <v>0.1133</v>
      </c>
    </row>
    <row r="84" spans="2:16" x14ac:dyDescent="0.35">
      <c r="B84" s="11">
        <v>42904</v>
      </c>
      <c r="C84" s="30" t="s">
        <v>14</v>
      </c>
      <c r="D84" s="31">
        <v>6648</v>
      </c>
      <c r="E84" s="10">
        <v>86</v>
      </c>
      <c r="F84" s="32">
        <v>153.08000000000001</v>
      </c>
      <c r="G84" s="33">
        <v>1.2999999999999999E-2</v>
      </c>
      <c r="H84" s="21">
        <v>6</v>
      </c>
      <c r="I84" s="33">
        <v>7.3899999999999993E-2</v>
      </c>
      <c r="J84" s="30" t="s">
        <v>17</v>
      </c>
      <c r="K84" s="31">
        <v>2907</v>
      </c>
      <c r="L84" s="10">
        <v>65</v>
      </c>
      <c r="M84" s="32">
        <v>157.29999999999998</v>
      </c>
      <c r="N84" s="33">
        <v>2.24E-2</v>
      </c>
      <c r="O84" s="21">
        <v>6</v>
      </c>
      <c r="P84" s="33">
        <v>9.1399999999999995E-2</v>
      </c>
    </row>
    <row r="85" spans="2:16" x14ac:dyDescent="0.35">
      <c r="B85" s="11">
        <v>42905</v>
      </c>
      <c r="C85" s="30" t="s">
        <v>14</v>
      </c>
      <c r="D85" s="31">
        <v>4011</v>
      </c>
      <c r="E85" s="10">
        <v>52</v>
      </c>
      <c r="F85" s="32">
        <v>79.040000000000006</v>
      </c>
      <c r="G85" s="33">
        <v>1.2999999999999999E-2</v>
      </c>
      <c r="H85" s="21">
        <v>4</v>
      </c>
      <c r="I85" s="33">
        <v>7.2099999999999997E-2</v>
      </c>
      <c r="J85" s="30" t="s">
        <v>17</v>
      </c>
      <c r="K85" s="31">
        <v>1306</v>
      </c>
      <c r="L85" s="10">
        <v>20</v>
      </c>
      <c r="M85" s="32">
        <v>30</v>
      </c>
      <c r="N85" s="33">
        <v>1.52E-2</v>
      </c>
      <c r="O85" s="21">
        <v>2</v>
      </c>
      <c r="P85" s="33">
        <v>9.3399999999999997E-2</v>
      </c>
    </row>
    <row r="86" spans="2:16" x14ac:dyDescent="0.35">
      <c r="B86" s="11">
        <v>42906</v>
      </c>
      <c r="C86" s="30" t="s">
        <v>14</v>
      </c>
      <c r="D86" s="31">
        <v>5332</v>
      </c>
      <c r="E86" s="10">
        <v>56</v>
      </c>
      <c r="F86" s="32">
        <v>92.96</v>
      </c>
      <c r="G86" s="33">
        <v>1.0500000000000001E-2</v>
      </c>
      <c r="H86" s="21">
        <v>4</v>
      </c>
      <c r="I86" s="33">
        <v>6.5299999999999997E-2</v>
      </c>
      <c r="J86" s="30" t="s">
        <v>17</v>
      </c>
      <c r="K86" s="31">
        <v>1679</v>
      </c>
      <c r="L86" s="10">
        <v>37</v>
      </c>
      <c r="M86" s="32">
        <v>81.03</v>
      </c>
      <c r="N86" s="33">
        <v>2.18E-2</v>
      </c>
      <c r="O86" s="21">
        <v>4</v>
      </c>
      <c r="P86" s="33">
        <v>9.7699999999999995E-2</v>
      </c>
    </row>
    <row r="87" spans="2:16" x14ac:dyDescent="0.35">
      <c r="B87" s="11">
        <v>42907</v>
      </c>
      <c r="C87" s="30" t="s">
        <v>14</v>
      </c>
      <c r="D87" s="31">
        <v>6737</v>
      </c>
      <c r="E87" s="10">
        <v>71</v>
      </c>
      <c r="F87" s="32">
        <v>97.27000000000001</v>
      </c>
      <c r="G87" s="33">
        <v>1.06E-2</v>
      </c>
      <c r="H87" s="21">
        <v>5</v>
      </c>
      <c r="I87" s="33">
        <v>6.6299999999999998E-2</v>
      </c>
      <c r="J87" s="30" t="s">
        <v>17</v>
      </c>
      <c r="K87" s="31">
        <v>1346</v>
      </c>
      <c r="L87" s="10">
        <v>26</v>
      </c>
      <c r="M87" s="32">
        <v>50.96</v>
      </c>
      <c r="N87" s="33">
        <v>1.95E-2</v>
      </c>
      <c r="O87" s="21">
        <v>3</v>
      </c>
      <c r="P87" s="33">
        <v>0.1067</v>
      </c>
    </row>
    <row r="88" spans="2:16" x14ac:dyDescent="0.35">
      <c r="B88" s="11">
        <v>42908</v>
      </c>
      <c r="C88" s="30" t="s">
        <v>14</v>
      </c>
      <c r="D88" s="31">
        <v>4553</v>
      </c>
      <c r="E88" s="10">
        <v>48</v>
      </c>
      <c r="F88" s="32">
        <v>72.48</v>
      </c>
      <c r="G88" s="33">
        <v>1.06E-2</v>
      </c>
      <c r="H88" s="21">
        <v>3</v>
      </c>
      <c r="I88" s="33">
        <v>6.2100000000000002E-2</v>
      </c>
      <c r="J88" s="30" t="s">
        <v>17</v>
      </c>
      <c r="K88" s="31">
        <v>1987</v>
      </c>
      <c r="L88" s="10">
        <v>34</v>
      </c>
      <c r="M88" s="32">
        <v>53.72</v>
      </c>
      <c r="N88" s="33">
        <v>1.7000000000000001E-2</v>
      </c>
      <c r="O88" s="21">
        <v>4</v>
      </c>
      <c r="P88" s="33">
        <v>0.104</v>
      </c>
    </row>
    <row r="89" spans="2:16" x14ac:dyDescent="0.35">
      <c r="B89" s="11">
        <v>42909</v>
      </c>
      <c r="C89" s="30" t="s">
        <v>14</v>
      </c>
      <c r="D89" s="31">
        <v>5439</v>
      </c>
      <c r="E89" s="10">
        <v>75</v>
      </c>
      <c r="F89" s="32">
        <v>116.25</v>
      </c>
      <c r="G89" s="33">
        <v>1.38E-2</v>
      </c>
      <c r="H89" s="21">
        <v>5</v>
      </c>
      <c r="I89" s="33">
        <v>6.3600000000000004E-2</v>
      </c>
      <c r="J89" s="30" t="s">
        <v>17</v>
      </c>
      <c r="K89" s="31">
        <v>2136</v>
      </c>
      <c r="L89" s="10">
        <v>32</v>
      </c>
      <c r="M89" s="32">
        <v>48</v>
      </c>
      <c r="N89" s="33">
        <v>1.4800000000000001E-2</v>
      </c>
      <c r="O89" s="21">
        <v>3</v>
      </c>
      <c r="P89" s="33">
        <v>0.1061</v>
      </c>
    </row>
    <row r="90" spans="2:16" x14ac:dyDescent="0.35">
      <c r="B90" s="11">
        <v>42910</v>
      </c>
      <c r="C90" s="30" t="s">
        <v>14</v>
      </c>
      <c r="D90" s="31">
        <v>6873</v>
      </c>
      <c r="E90" s="10">
        <v>82</v>
      </c>
      <c r="F90" s="32">
        <v>150.06</v>
      </c>
      <c r="G90" s="33">
        <v>1.2E-2</v>
      </c>
      <c r="H90" s="21">
        <v>6</v>
      </c>
      <c r="I90" s="33">
        <v>7.4999999999999997E-2</v>
      </c>
      <c r="J90" s="30" t="s">
        <v>17</v>
      </c>
      <c r="K90" s="31">
        <v>1347</v>
      </c>
      <c r="L90" s="10">
        <v>23</v>
      </c>
      <c r="M90" s="32">
        <v>35.880000000000003</v>
      </c>
      <c r="N90" s="33">
        <v>1.7399999999999999E-2</v>
      </c>
      <c r="O90" s="21">
        <v>3</v>
      </c>
      <c r="P90" s="33">
        <v>0.1142</v>
      </c>
    </row>
    <row r="91" spans="2:16" x14ac:dyDescent="0.35">
      <c r="B91" s="11">
        <v>42911</v>
      </c>
      <c r="C91" s="30" t="s">
        <v>14</v>
      </c>
      <c r="D91" s="31">
        <v>6631</v>
      </c>
      <c r="E91" s="10">
        <v>72</v>
      </c>
      <c r="F91" s="32">
        <v>95.76</v>
      </c>
      <c r="G91" s="33">
        <v>1.09E-2</v>
      </c>
      <c r="H91" s="21">
        <v>5</v>
      </c>
      <c r="I91" s="33">
        <v>7.4899999999999994E-2</v>
      </c>
      <c r="J91" s="30" t="s">
        <v>17</v>
      </c>
      <c r="K91" s="31">
        <v>1089</v>
      </c>
      <c r="L91" s="10">
        <v>26</v>
      </c>
      <c r="M91" s="32">
        <v>48.1</v>
      </c>
      <c r="N91" s="33">
        <v>2.4E-2</v>
      </c>
      <c r="O91" s="21">
        <v>3</v>
      </c>
      <c r="P91" s="33">
        <v>0.1065</v>
      </c>
    </row>
    <row r="92" spans="2:16" x14ac:dyDescent="0.35">
      <c r="B92" s="11">
        <v>42912</v>
      </c>
      <c r="C92" s="30" t="s">
        <v>14</v>
      </c>
      <c r="D92" s="31">
        <v>4489</v>
      </c>
      <c r="E92" s="10">
        <v>58</v>
      </c>
      <c r="F92" s="32">
        <v>125.86</v>
      </c>
      <c r="G92" s="33">
        <v>1.29E-2</v>
      </c>
      <c r="H92" s="21">
        <v>4</v>
      </c>
      <c r="I92" s="33">
        <v>7.3300000000000004E-2</v>
      </c>
      <c r="J92" s="30" t="s">
        <v>17</v>
      </c>
      <c r="K92" s="31">
        <v>2451</v>
      </c>
      <c r="L92" s="10">
        <v>43</v>
      </c>
      <c r="M92" s="32">
        <v>101.47999999999999</v>
      </c>
      <c r="N92" s="33">
        <v>1.7399999999999999E-2</v>
      </c>
      <c r="O92" s="21">
        <v>5</v>
      </c>
      <c r="P92" s="33">
        <v>0.1197</v>
      </c>
    </row>
    <row r="93" spans="2:16" x14ac:dyDescent="0.35">
      <c r="B93" s="11">
        <v>42913</v>
      </c>
      <c r="C93" s="30" t="s">
        <v>14</v>
      </c>
      <c r="D93" s="31">
        <v>6463</v>
      </c>
      <c r="E93" s="10">
        <v>82</v>
      </c>
      <c r="F93" s="32">
        <v>146.78</v>
      </c>
      <c r="G93" s="33">
        <v>1.2699999999999999E-2</v>
      </c>
      <c r="H93" s="21">
        <v>5</v>
      </c>
      <c r="I93" s="33">
        <v>6.4699999999999994E-2</v>
      </c>
      <c r="J93" s="30" t="s">
        <v>17</v>
      </c>
      <c r="K93" s="31">
        <v>2541</v>
      </c>
      <c r="L93" s="10">
        <v>52</v>
      </c>
      <c r="M93" s="32">
        <v>122.72</v>
      </c>
      <c r="N93" s="33">
        <v>2.0400000000000001E-2</v>
      </c>
      <c r="O93" s="21">
        <v>5</v>
      </c>
      <c r="P93" s="33">
        <v>9.3100000000000002E-2</v>
      </c>
    </row>
    <row r="94" spans="2:16" x14ac:dyDescent="0.35">
      <c r="B94" s="11">
        <v>42914</v>
      </c>
      <c r="C94" s="30" t="s">
        <v>14</v>
      </c>
      <c r="D94" s="31">
        <v>5522</v>
      </c>
      <c r="E94" s="10">
        <v>82</v>
      </c>
      <c r="F94" s="32">
        <v>177.94</v>
      </c>
      <c r="G94" s="33">
        <v>1.4800000000000001E-2</v>
      </c>
      <c r="H94" s="21">
        <v>6</v>
      </c>
      <c r="I94" s="33">
        <v>6.9699999999999998E-2</v>
      </c>
      <c r="J94" s="30" t="s">
        <v>17</v>
      </c>
      <c r="K94" s="31">
        <v>1424</v>
      </c>
      <c r="L94" s="10">
        <v>33</v>
      </c>
      <c r="M94" s="32">
        <v>74.25</v>
      </c>
      <c r="N94" s="33">
        <v>2.3400000000000001E-2</v>
      </c>
      <c r="O94" s="21">
        <v>4</v>
      </c>
      <c r="P94" s="33">
        <v>0.11799999999999999</v>
      </c>
    </row>
    <row r="95" spans="2:16" x14ac:dyDescent="0.35">
      <c r="B95" s="11">
        <v>42915</v>
      </c>
      <c r="C95" s="30" t="s">
        <v>14</v>
      </c>
      <c r="D95" s="31">
        <v>6658</v>
      </c>
      <c r="E95" s="10">
        <v>78</v>
      </c>
      <c r="F95" s="32">
        <v>131.82</v>
      </c>
      <c r="G95" s="33">
        <v>1.17E-2</v>
      </c>
      <c r="H95" s="21">
        <v>5</v>
      </c>
      <c r="I95" s="33">
        <v>6.5199999999999994E-2</v>
      </c>
      <c r="J95" s="30" t="s">
        <v>17</v>
      </c>
      <c r="K95" s="31">
        <v>1295</v>
      </c>
      <c r="L95" s="10">
        <v>29</v>
      </c>
      <c r="M95" s="32">
        <v>65.83</v>
      </c>
      <c r="N95" s="33">
        <v>2.2599999999999999E-2</v>
      </c>
      <c r="O95" s="21">
        <v>3</v>
      </c>
      <c r="P95" s="33">
        <v>0.1055</v>
      </c>
    </row>
    <row r="96" spans="2:16" x14ac:dyDescent="0.35">
      <c r="B96" s="11">
        <v>42916</v>
      </c>
      <c r="C96" s="30" t="s">
        <v>14</v>
      </c>
      <c r="D96" s="31">
        <v>4348</v>
      </c>
      <c r="E96" s="10">
        <v>34</v>
      </c>
      <c r="F96" s="32">
        <v>41.14</v>
      </c>
      <c r="G96" s="33">
        <v>7.9000000000000008E-3</v>
      </c>
      <c r="H96" s="21">
        <v>2</v>
      </c>
      <c r="I96" s="33">
        <v>6.6799999999999998E-2</v>
      </c>
      <c r="J96" s="30" t="s">
        <v>17</v>
      </c>
      <c r="K96" s="31">
        <v>1515</v>
      </c>
      <c r="L96" s="10">
        <v>32</v>
      </c>
      <c r="M96" s="32">
        <v>65.28</v>
      </c>
      <c r="N96" s="33">
        <v>2.1399999999999999E-2</v>
      </c>
      <c r="O96" s="21">
        <v>4</v>
      </c>
      <c r="P96" s="33">
        <v>0.1202</v>
      </c>
    </row>
  </sheetData>
  <autoFilter ref="B5:O5">
    <sortState ref="B6:P96">
      <sortCondition ref="B5"/>
    </sortState>
  </autoFilter>
  <printOptions horizontalCentered="1"/>
  <pageMargins left="0.2" right="0.2" top="0.25" bottom="0.25" header="0.3" footer="0.3"/>
  <pageSetup scale="6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49"/>
  <sheetViews>
    <sheetView showGridLines="0" topLeftCell="A8" workbookViewId="0">
      <selection activeCell="I20" sqref="I20"/>
    </sheetView>
  </sheetViews>
  <sheetFormatPr defaultColWidth="8.81640625" defaultRowHeight="14.5" x14ac:dyDescent="0.35"/>
  <cols>
    <col min="1" max="1" width="1.54296875" customWidth="1"/>
    <col min="2" max="2" width="2.54296875" customWidth="1"/>
    <col min="3" max="3" width="13.54296875" customWidth="1"/>
    <col min="4" max="7" width="11.54296875" customWidth="1"/>
    <col min="8" max="8" width="2.54296875" style="28" customWidth="1"/>
    <col min="9" max="9" width="28.26953125" style="28" customWidth="1"/>
    <col min="10" max="12" width="11.54296875" style="28" customWidth="1"/>
    <col min="13" max="13" width="11.54296875" customWidth="1"/>
  </cols>
  <sheetData>
    <row r="1" spans="1:11" ht="7" customHeight="1" x14ac:dyDescent="0.35">
      <c r="A1" s="1"/>
    </row>
    <row r="2" spans="1:11" ht="18.5" x14ac:dyDescent="0.45">
      <c r="B2" s="19" t="s">
        <v>4</v>
      </c>
      <c r="H2" s="19"/>
    </row>
    <row r="3" spans="1:11" s="155" customFormat="1" ht="16" thickBot="1" x14ac:dyDescent="0.4">
      <c r="B3" s="149" t="s">
        <v>898</v>
      </c>
      <c r="C3" s="154"/>
      <c r="H3" s="148"/>
    </row>
    <row r="4" spans="1:11" x14ac:dyDescent="0.35">
      <c r="A4" s="231"/>
      <c r="B4" s="208"/>
      <c r="C4" s="208"/>
      <c r="D4" s="208"/>
      <c r="E4" s="208"/>
      <c r="F4" s="208"/>
      <c r="G4" s="208"/>
      <c r="H4" s="208"/>
      <c r="I4" s="208"/>
      <c r="J4" s="208"/>
      <c r="K4" s="209"/>
    </row>
    <row r="5" spans="1:11" s="28" customFormat="1" ht="15.5" x14ac:dyDescent="0.35">
      <c r="A5" s="213"/>
      <c r="B5" s="236" t="s">
        <v>1</v>
      </c>
      <c r="C5" s="4"/>
      <c r="D5" s="4"/>
      <c r="E5" s="4"/>
      <c r="F5" s="4"/>
      <c r="G5" s="4"/>
      <c r="H5" s="4"/>
      <c r="I5" s="4"/>
      <c r="J5" s="4"/>
      <c r="K5" s="212"/>
    </row>
    <row r="6" spans="1:11" s="28" customFormat="1" ht="15.5" x14ac:dyDescent="0.35">
      <c r="A6" s="213"/>
      <c r="B6" s="232"/>
      <c r="C6" s="4"/>
      <c r="D6" s="233"/>
      <c r="E6" s="233"/>
      <c r="F6" s="233"/>
      <c r="G6" s="4"/>
      <c r="H6" s="4"/>
      <c r="I6" s="4"/>
      <c r="J6" s="4"/>
      <c r="K6" s="212"/>
    </row>
    <row r="7" spans="1:11" s="145" customFormat="1" ht="15.5" x14ac:dyDescent="0.35">
      <c r="A7" s="213"/>
      <c r="B7" s="232"/>
      <c r="C7" s="223" t="s">
        <v>902</v>
      </c>
      <c r="D7" s="4"/>
      <c r="E7" s="4"/>
      <c r="F7" s="4"/>
      <c r="G7" s="4"/>
      <c r="H7" s="4"/>
      <c r="I7" s="119" t="s">
        <v>31</v>
      </c>
      <c r="J7" s="4"/>
      <c r="K7" s="212"/>
    </row>
    <row r="8" spans="1:11" s="145" customFormat="1" ht="15.5" x14ac:dyDescent="0.35">
      <c r="A8" s="213"/>
      <c r="B8" s="232"/>
      <c r="C8" s="223" t="s">
        <v>903</v>
      </c>
      <c r="D8" s="4"/>
      <c r="E8" s="4"/>
      <c r="F8" s="4"/>
      <c r="G8" s="4"/>
      <c r="H8" s="4"/>
      <c r="I8" s="119" t="s">
        <v>1027</v>
      </c>
      <c r="J8" s="4"/>
      <c r="K8" s="212"/>
    </row>
    <row r="9" spans="1:11" s="145" customFormat="1" ht="15.5" x14ac:dyDescent="0.35">
      <c r="A9" s="213"/>
      <c r="B9" s="232"/>
      <c r="C9" s="223" t="s">
        <v>904</v>
      </c>
      <c r="D9" s="4"/>
      <c r="E9" s="4"/>
      <c r="F9" s="4"/>
      <c r="G9" s="4"/>
      <c r="H9" s="4"/>
      <c r="I9" s="320" t="s">
        <v>31</v>
      </c>
      <c r="J9" s="4"/>
      <c r="K9" s="212"/>
    </row>
    <row r="10" spans="1:11" s="145" customFormat="1" ht="15.5" x14ac:dyDescent="0.35">
      <c r="A10" s="213"/>
      <c r="B10" s="232"/>
      <c r="C10" s="223" t="s">
        <v>907</v>
      </c>
      <c r="D10" s="4"/>
      <c r="E10" s="4"/>
      <c r="F10" s="4"/>
      <c r="G10" s="4"/>
      <c r="H10" s="4"/>
      <c r="I10" s="321" t="s">
        <v>1037</v>
      </c>
      <c r="J10" s="98"/>
      <c r="K10" s="212"/>
    </row>
    <row r="11" spans="1:11" s="145" customFormat="1" ht="43.5" customHeight="1" x14ac:dyDescent="0.35">
      <c r="A11" s="213"/>
      <c r="B11" s="232"/>
      <c r="C11" s="223" t="s">
        <v>905</v>
      </c>
      <c r="D11" s="4"/>
      <c r="E11" s="4"/>
      <c r="F11" s="4"/>
      <c r="G11" s="4"/>
      <c r="H11" s="4"/>
      <c r="I11" s="332" t="s">
        <v>1038</v>
      </c>
      <c r="J11" s="4"/>
      <c r="K11" s="212"/>
    </row>
    <row r="12" spans="1:11" s="145" customFormat="1" ht="16" thickBot="1" x14ac:dyDescent="0.4">
      <c r="A12" s="215"/>
      <c r="B12" s="234"/>
      <c r="C12" s="235" t="s">
        <v>899</v>
      </c>
      <c r="D12" s="216"/>
      <c r="E12" s="216"/>
      <c r="F12" s="216"/>
      <c r="G12" s="216"/>
      <c r="H12" s="216"/>
      <c r="I12" s="333"/>
      <c r="J12" s="216"/>
      <c r="K12" s="217"/>
    </row>
    <row r="13" spans="1:11" s="145" customFormat="1" ht="16" thickBot="1" x14ac:dyDescent="0.4">
      <c r="B13" s="20"/>
      <c r="D13" s="67"/>
      <c r="E13" s="67"/>
      <c r="F13" s="67"/>
    </row>
    <row r="14" spans="1:11" s="28" customFormat="1" x14ac:dyDescent="0.35">
      <c r="C14" s="291"/>
      <c r="D14" s="292" t="s">
        <v>2</v>
      </c>
      <c r="E14" s="292" t="s">
        <v>20</v>
      </c>
      <c r="F14" s="293" t="s">
        <v>31</v>
      </c>
      <c r="H14" s="4"/>
      <c r="J14" s="322"/>
    </row>
    <row r="15" spans="1:11" s="28" customFormat="1" x14ac:dyDescent="0.35">
      <c r="C15" s="200" t="s">
        <v>30</v>
      </c>
      <c r="D15" s="196">
        <f>E15+F15</f>
        <v>16782.039999999997</v>
      </c>
      <c r="E15" s="196">
        <f>SUM(AW_Cost)</f>
        <v>9680.4999999999964</v>
      </c>
      <c r="F15" s="201">
        <f>SUM(FB_Cost)</f>
        <v>7101.5400000000009</v>
      </c>
    </row>
    <row r="16" spans="1:11" s="28" customFormat="1" x14ac:dyDescent="0.35">
      <c r="C16" s="200" t="s">
        <v>32</v>
      </c>
      <c r="D16" s="196">
        <f t="shared" ref="D16:D18" si="0">E16+F16</f>
        <v>697979</v>
      </c>
      <c r="E16" s="197">
        <f>SUM(AW_Impressions)</f>
        <v>513162</v>
      </c>
      <c r="F16" s="202">
        <f>SUM(FB_Impressions)</f>
        <v>184817</v>
      </c>
    </row>
    <row r="17" spans="2:15" s="28" customFormat="1" x14ac:dyDescent="0.35">
      <c r="C17" s="200" t="s">
        <v>25</v>
      </c>
      <c r="D17" s="196">
        <f t="shared" si="0"/>
        <v>9422</v>
      </c>
      <c r="E17" s="197">
        <f>SUM(AW_Clicks)</f>
        <v>5952</v>
      </c>
      <c r="F17" s="202">
        <f>SUM(FB_Clicks)</f>
        <v>3470</v>
      </c>
    </row>
    <row r="18" spans="2:15" s="28" customFormat="1" x14ac:dyDescent="0.35">
      <c r="C18" s="200" t="s">
        <v>27</v>
      </c>
      <c r="D18" s="196">
        <f t="shared" si="0"/>
        <v>776</v>
      </c>
      <c r="E18" s="296">
        <f>SUM(AW_Conversions)</f>
        <v>403</v>
      </c>
      <c r="F18" s="297">
        <f>SUM(FB_Conversions)</f>
        <v>373</v>
      </c>
      <c r="K18" s="145"/>
    </row>
    <row r="19" spans="2:15" s="28" customFormat="1" x14ac:dyDescent="0.35">
      <c r="C19" s="203" t="s">
        <v>33</v>
      </c>
      <c r="D19" s="198">
        <f>D17/D16</f>
        <v>1.349897346481771E-2</v>
      </c>
      <c r="E19" s="198">
        <f>E17/E16</f>
        <v>1.1598676441357699E-2</v>
      </c>
      <c r="F19" s="198">
        <f>F17/F16</f>
        <v>1.877532910933518E-2</v>
      </c>
      <c r="G19" s="298"/>
      <c r="I19" s="298"/>
      <c r="J19" s="145"/>
      <c r="K19" s="145"/>
    </row>
    <row r="20" spans="2:15" s="28" customFormat="1" x14ac:dyDescent="0.35">
      <c r="C20" s="203" t="s">
        <v>34</v>
      </c>
      <c r="D20" s="199">
        <f>D15/D17</f>
        <v>1.7811547442156652</v>
      </c>
      <c r="E20" s="199">
        <f>E15/E17</f>
        <v>1.6264280913978488</v>
      </c>
      <c r="F20" s="199">
        <f>F15/F17</f>
        <v>2.0465533141210379</v>
      </c>
      <c r="G20" s="67"/>
      <c r="I20" s="67"/>
    </row>
    <row r="21" spans="2:15" s="28" customFormat="1" ht="15" thickBot="1" x14ac:dyDescent="0.4">
      <c r="C21" s="204" t="s">
        <v>26</v>
      </c>
      <c r="D21" s="205">
        <f>D18/D17</f>
        <v>8.2360433029080873E-2</v>
      </c>
      <c r="E21" s="205">
        <f>E18/E17</f>
        <v>6.7708333333333329E-2</v>
      </c>
      <c r="F21" s="205">
        <f t="shared" ref="F21" si="1">F18/F17</f>
        <v>0.10749279538904899</v>
      </c>
      <c r="G21" s="85"/>
      <c r="I21" s="85"/>
      <c r="J21" s="299"/>
    </row>
    <row r="22" spans="2:15" s="145" customFormat="1" x14ac:dyDescent="0.35"/>
    <row r="23" spans="2:15" s="145" customFormat="1" ht="15" thickBot="1" x14ac:dyDescent="0.4"/>
    <row r="24" spans="2:15" ht="15.5" x14ac:dyDescent="0.35">
      <c r="B24" s="206" t="s">
        <v>35</v>
      </c>
      <c r="C24" s="207"/>
      <c r="D24" s="208"/>
      <c r="E24" s="208"/>
      <c r="F24" s="208"/>
      <c r="G24" s="208"/>
      <c r="H24" s="206" t="s">
        <v>36</v>
      </c>
      <c r="I24" s="207"/>
      <c r="J24" s="208"/>
      <c r="K24" s="208"/>
      <c r="L24" s="208"/>
      <c r="M24" s="209"/>
    </row>
    <row r="25" spans="2:15" s="28" customFormat="1" ht="15.5" x14ac:dyDescent="0.35">
      <c r="B25" s="210"/>
      <c r="C25" s="211"/>
      <c r="D25" s="4"/>
      <c r="E25" s="4"/>
      <c r="F25" s="327"/>
      <c r="H25" s="210"/>
      <c r="I25" s="211"/>
      <c r="J25" s="4"/>
      <c r="K25" s="4"/>
      <c r="L25" s="4"/>
      <c r="M25" s="212"/>
    </row>
    <row r="26" spans="2:15" x14ac:dyDescent="0.35">
      <c r="B26" s="213"/>
      <c r="C26" s="4"/>
      <c r="D26" s="35" t="s">
        <v>33</v>
      </c>
      <c r="E26" s="324" t="s">
        <v>34</v>
      </c>
      <c r="F26" s="328" t="s">
        <v>23</v>
      </c>
      <c r="G26" s="300" t="s">
        <v>1043</v>
      </c>
      <c r="H26" s="213"/>
      <c r="I26" s="4"/>
      <c r="J26" s="218" t="s">
        <v>33</v>
      </c>
      <c r="K26" s="218" t="s">
        <v>34</v>
      </c>
      <c r="L26" s="218" t="s">
        <v>23</v>
      </c>
      <c r="M26" s="218" t="s">
        <v>1043</v>
      </c>
    </row>
    <row r="27" spans="2:15" x14ac:dyDescent="0.35">
      <c r="B27" s="213"/>
      <c r="C27" s="10" t="s">
        <v>12</v>
      </c>
      <c r="D27" s="33">
        <f>SUMIFS(AW_Clicks, AW_Campaign,C27)/SUMIFS(AW_Impressions, AW_Campaign, C27)</f>
        <v>1.2153387414518596E-2</v>
      </c>
      <c r="E27" s="325">
        <f>SUMIFS(AW_Cost, AW_Campaign,C27)/SUMIFS(AW_Clicks, AW_Campaign, C27)</f>
        <v>1.6482810969637607</v>
      </c>
      <c r="F27" s="329">
        <f>SUMIFS(AW_Conversions, AW_Campaign, C27)/SUMIFS(AW_Clicks, AW_Campaign, C27)</f>
        <v>6.7091087169441718E-2</v>
      </c>
      <c r="G27" s="329">
        <f>SUMIFS(AW_Cost,AW_Campaign,C27)/SUMIFS(AW_Conversions,AW_Campaign,C27)</f>
        <v>24.567810218978099</v>
      </c>
      <c r="H27" s="213"/>
      <c r="I27" s="10" t="s">
        <v>15</v>
      </c>
      <c r="J27" s="33">
        <f>SUMIFS(FB_Clicks, FB_Campaign,I27)/SUMIFS(FB_Impressions, FB_Campaign, I27)</f>
        <v>1.8624139689013511E-2</v>
      </c>
      <c r="K27" s="36">
        <f>SUMIFS(FB_Cost, FB_Campaign,I27)/SUMIFS(FB_Clicks, FB_Campaign, I27)</f>
        <v>2.0828656971770743</v>
      </c>
      <c r="L27" s="214">
        <f>SUMIFS(FB_Conversions, FB_Campaign, I27)/SUMIFS(FB_Clicks, FB_Campaign, I27)</f>
        <v>0.1086398631308811</v>
      </c>
      <c r="M27" s="214">
        <f>SUMIFS(FB_Cost,FB_Campaign,I27)/SUMIFS(FB_Conversions,FB_Campaign,I27)</f>
        <v>19.172204724409447</v>
      </c>
      <c r="O27" s="145"/>
    </row>
    <row r="28" spans="2:15" x14ac:dyDescent="0.35">
      <c r="B28" s="213"/>
      <c r="C28" s="10" t="s">
        <v>14</v>
      </c>
      <c r="D28" s="33">
        <f>SUMIFS(AW_Clicks, AW_Campaign,C28)/SUMIFS(AW_Impressions, AW_Campaign, C28)</f>
        <v>1.1304896234255369E-2</v>
      </c>
      <c r="E28" s="325">
        <f>SUMIFS(AW_Cost, AW_Campaign,C28)/SUMIFS(AW_Clicks, AW_Campaign, C28)</f>
        <v>1.6046454640250263</v>
      </c>
      <c r="F28" s="329">
        <f>SUMIFS(AW_Conversions, AW_Campaign, C28)/SUMIFS(AW_Clicks, AW_Campaign, C28)</f>
        <v>6.7778936392075079E-2</v>
      </c>
      <c r="G28" s="329">
        <f>SUMIFS(AW_Cost,AW_Campaign,C28)/SUMIFS(AW_Conversions,AW_Campaign,C28)</f>
        <v>23.674692307692311</v>
      </c>
      <c r="H28" s="213"/>
      <c r="I28" s="10" t="s">
        <v>17</v>
      </c>
      <c r="J28" s="33">
        <f>SUMIFS(FB_Clicks, FB_Campaign,I28)/SUMIFS(FB_Impressions, FB_Campaign, I28)</f>
        <v>1.885405627158046E-2</v>
      </c>
      <c r="K28" s="36">
        <f>SUMIFS(FB_Cost, FB_Campaign,I28)/SUMIFS(FB_Clicks, FB_Campaign, I28)</f>
        <v>2.0342157751586583</v>
      </c>
      <c r="L28" s="214">
        <f>SUMIFS(FB_Conversions, FB_Campaign, I28)/SUMIFS(FB_Clicks, FB_Campaign, I28)</f>
        <v>0.10698096101541252</v>
      </c>
      <c r="M28" s="214">
        <f>SUMIFS(FB_Cost,FB_Campaign,I28)/SUMIFS(FB_Conversions,FB_Campaign,I28)</f>
        <v>19.014745762711865</v>
      </c>
    </row>
    <row r="29" spans="2:15" x14ac:dyDescent="0.35">
      <c r="B29" s="213"/>
      <c r="C29" s="10" t="s">
        <v>13</v>
      </c>
      <c r="D29" s="33">
        <f>SUMIFS(AW_Clicks, AW_Campaign,C29)/SUMIFS(AW_Impressions, AW_Campaign, C29)</f>
        <v>1.1351591616234143E-2</v>
      </c>
      <c r="E29" s="325">
        <f>SUMIFS(AW_Cost, AW_Campaign,C29)/SUMIFS(AW_Clicks, AW_Campaign, C29)</f>
        <v>1.6250000000000004</v>
      </c>
      <c r="F29" s="329">
        <f>SUMIFS(AW_Conversions, AW_Campaign, C29)/SUMIFS(AW_Clicks, AW_Campaign, C29)</f>
        <v>6.8273092369477914E-2</v>
      </c>
      <c r="G29" s="329">
        <f>SUMIFS(AW_Cost,AW_Campaign,C29)/SUMIFS(AW_Conversions,AW_Campaign,C29)</f>
        <v>23.801470588235301</v>
      </c>
      <c r="H29" s="213"/>
      <c r="I29" s="10" t="s">
        <v>16</v>
      </c>
      <c r="J29" s="33">
        <f>SUMIFS(FB_Clicks, FB_Campaign,I29)/SUMIFS(FB_Impressions, FB_Campaign, I29)</f>
        <v>1.8852188144208224E-2</v>
      </c>
      <c r="K29" s="36">
        <f>SUMIFS(FB_Cost, FB_Campaign,I29)/SUMIFS(FB_Clicks, FB_Campaign, I29)</f>
        <v>2.0224791318864774</v>
      </c>
      <c r="L29" s="214">
        <f>SUMIFS(FB_Conversions, FB_Campaign, I29)/SUMIFS(FB_Clicks, FB_Campaign, I29)</f>
        <v>0.10684474123539232</v>
      </c>
      <c r="M29" s="214">
        <f>SUMIFS(FB_Cost,FB_Campaign,I29)/SUMIFS(FB_Conversions,FB_Campaign,I29)</f>
        <v>18.929140624999999</v>
      </c>
      <c r="O29" s="298"/>
    </row>
    <row r="30" spans="2:15" x14ac:dyDescent="0.35">
      <c r="B30" s="213"/>
      <c r="C30" s="22" t="s">
        <v>0</v>
      </c>
      <c r="D30" s="34">
        <f>E19</f>
        <v>1.1598676441357699E-2</v>
      </c>
      <c r="E30" s="326">
        <f>E20</f>
        <v>1.6264280913978488</v>
      </c>
      <c r="F30" s="330">
        <f>E21</f>
        <v>6.7708333333333329E-2</v>
      </c>
      <c r="G30" s="329">
        <f>AVERAGE(G29,G28,G27)</f>
        <v>24.01465770496857</v>
      </c>
      <c r="H30" s="213"/>
      <c r="I30" s="22" t="s">
        <v>0</v>
      </c>
      <c r="J30" s="34">
        <f>F19</f>
        <v>1.877532910933518E-2</v>
      </c>
      <c r="K30" s="37">
        <f>F20</f>
        <v>2.0465533141210379</v>
      </c>
      <c r="L30" s="34">
        <f>F21</f>
        <v>0.10749279538904899</v>
      </c>
      <c r="M30" s="214">
        <f>AVERAGE(M27:M29)</f>
        <v>19.038697037373769</v>
      </c>
    </row>
    <row r="31" spans="2:15" ht="15" thickBot="1" x14ac:dyDescent="0.4">
      <c r="B31" s="215"/>
      <c r="C31" s="4"/>
      <c r="D31" s="4"/>
      <c r="E31" s="331"/>
      <c r="F31" s="331"/>
      <c r="H31" s="213"/>
      <c r="I31" s="4"/>
      <c r="J31" s="216"/>
      <c r="K31" s="216"/>
      <c r="L31" s="216"/>
      <c r="M31" s="217"/>
    </row>
    <row r="32" spans="2:15" s="145" customFormat="1" x14ac:dyDescent="0.35">
      <c r="C32" s="219" t="s">
        <v>901</v>
      </c>
      <c r="D32" s="208"/>
      <c r="E32" s="4"/>
      <c r="F32" s="4"/>
      <c r="G32" s="208"/>
      <c r="H32" s="208"/>
      <c r="I32" s="220" t="s">
        <v>1028</v>
      </c>
      <c r="K32" s="96"/>
    </row>
    <row r="33" spans="2:10" s="145" customFormat="1" ht="15" thickBot="1" x14ac:dyDescent="0.4">
      <c r="C33" s="221" t="s">
        <v>900</v>
      </c>
      <c r="D33" s="216"/>
      <c r="E33" s="216"/>
      <c r="F33" s="216"/>
      <c r="G33" s="216"/>
      <c r="H33" s="216"/>
      <c r="I33" s="222" t="s">
        <v>1029</v>
      </c>
    </row>
    <row r="35" spans="2:10" s="145" customFormat="1" ht="15" thickBot="1" x14ac:dyDescent="0.4"/>
    <row r="36" spans="2:10" ht="15.5" x14ac:dyDescent="0.35">
      <c r="B36" s="230" t="s">
        <v>37</v>
      </c>
      <c r="C36" s="208"/>
      <c r="D36" s="208"/>
      <c r="E36" s="208"/>
      <c r="F36" s="208"/>
      <c r="G36" s="208"/>
      <c r="H36" s="208"/>
      <c r="I36" s="208"/>
      <c r="J36" s="209"/>
    </row>
    <row r="37" spans="2:10" s="28" customFormat="1" ht="15.5" x14ac:dyDescent="0.35">
      <c r="B37" s="210"/>
      <c r="C37" s="4"/>
      <c r="D37" s="4"/>
      <c r="E37" s="4"/>
      <c r="F37" s="4"/>
      <c r="G37" s="4"/>
      <c r="H37" s="4"/>
      <c r="I37" s="4"/>
      <c r="J37" s="212"/>
    </row>
    <row r="38" spans="2:10" s="145" customFormat="1" ht="15.5" x14ac:dyDescent="0.35">
      <c r="B38" s="210"/>
      <c r="C38" s="223" t="s">
        <v>906</v>
      </c>
      <c r="D38" s="4"/>
      <c r="E38" s="4"/>
      <c r="F38" s="4"/>
      <c r="G38" s="4"/>
      <c r="H38" s="4"/>
      <c r="I38" s="119" t="s">
        <v>31</v>
      </c>
      <c r="J38" s="212"/>
    </row>
    <row r="39" spans="2:10" s="145" customFormat="1" ht="15.5" x14ac:dyDescent="0.35">
      <c r="B39" s="210"/>
      <c r="C39" s="223" t="s">
        <v>905</v>
      </c>
      <c r="D39" s="4"/>
      <c r="E39" s="4"/>
      <c r="F39" s="4"/>
      <c r="G39" s="4"/>
      <c r="H39" s="4"/>
      <c r="I39" s="119" t="s">
        <v>31</v>
      </c>
      <c r="J39" s="212"/>
    </row>
    <row r="40" spans="2:10" s="145" customFormat="1" ht="15.5" x14ac:dyDescent="0.35">
      <c r="B40" s="210"/>
      <c r="C40" s="223" t="s">
        <v>899</v>
      </c>
      <c r="D40" s="4"/>
      <c r="E40" s="4"/>
      <c r="F40" s="4"/>
      <c r="G40" s="4"/>
      <c r="H40" s="4"/>
      <c r="I40" s="119"/>
      <c r="J40" s="212"/>
    </row>
    <row r="41" spans="2:10" s="145" customFormat="1" ht="15.5" x14ac:dyDescent="0.35">
      <c r="B41" s="210"/>
      <c r="C41" s="4"/>
      <c r="D41" s="4"/>
      <c r="E41" s="4"/>
      <c r="F41" s="4"/>
      <c r="G41" s="4"/>
      <c r="H41" s="4"/>
      <c r="I41" s="4"/>
      <c r="J41" s="212"/>
    </row>
    <row r="42" spans="2:10" x14ac:dyDescent="0.35">
      <c r="B42" s="213"/>
      <c r="C42" s="4"/>
      <c r="D42" s="229" t="s">
        <v>2</v>
      </c>
      <c r="E42" s="229" t="s">
        <v>20</v>
      </c>
      <c r="F42" s="229" t="s">
        <v>31</v>
      </c>
      <c r="G42" s="4"/>
      <c r="H42" s="4"/>
      <c r="I42" s="4"/>
      <c r="J42" s="212"/>
    </row>
    <row r="43" spans="2:10" x14ac:dyDescent="0.35">
      <c r="B43" s="213"/>
      <c r="C43" s="4" t="s">
        <v>21</v>
      </c>
      <c r="D43" s="224">
        <v>3000</v>
      </c>
      <c r="E43" s="224">
        <v>3000</v>
      </c>
      <c r="F43" s="224">
        <v>3000</v>
      </c>
      <c r="G43" s="4"/>
      <c r="H43" s="4"/>
      <c r="I43" s="4"/>
      <c r="J43" s="212"/>
    </row>
    <row r="44" spans="2:10" s="28" customFormat="1" x14ac:dyDescent="0.35">
      <c r="B44" s="213"/>
      <c r="C44" s="4" t="s">
        <v>22</v>
      </c>
      <c r="D44" s="38">
        <f>D20</f>
        <v>1.7811547442156652</v>
      </c>
      <c r="E44" s="38">
        <f>E20</f>
        <v>1.6264280913978488</v>
      </c>
      <c r="F44" s="38">
        <f>F20</f>
        <v>2.0465533141210379</v>
      </c>
      <c r="G44" s="4"/>
      <c r="H44" s="4"/>
      <c r="I44" s="4"/>
      <c r="J44" s="212"/>
    </row>
    <row r="45" spans="2:10" x14ac:dyDescent="0.35">
      <c r="B45" s="213"/>
      <c r="C45" s="225" t="s">
        <v>25</v>
      </c>
      <c r="D45" s="226">
        <f>D43/D44</f>
        <v>1684.3005975435647</v>
      </c>
      <c r="E45" s="226">
        <f>E43/E44</f>
        <v>1844.5328237177839</v>
      </c>
      <c r="F45" s="226">
        <f>F43/F44</f>
        <v>1465.8792318285889</v>
      </c>
      <c r="G45" s="4"/>
      <c r="H45" s="4"/>
      <c r="I45" s="4"/>
      <c r="J45" s="212"/>
    </row>
    <row r="46" spans="2:10" x14ac:dyDescent="0.35">
      <c r="B46" s="213"/>
      <c r="C46" s="4" t="s">
        <v>26</v>
      </c>
      <c r="D46" s="39">
        <f>D21</f>
        <v>8.2360433029080873E-2</v>
      </c>
      <c r="E46" s="39">
        <f>E21</f>
        <v>6.7708333333333329E-2</v>
      </c>
      <c r="F46" s="39">
        <f>F21</f>
        <v>0.10749279538904899</v>
      </c>
      <c r="G46" s="4"/>
      <c r="H46" s="4"/>
      <c r="I46" s="4"/>
      <c r="J46" s="212"/>
    </row>
    <row r="47" spans="2:10" x14ac:dyDescent="0.35">
      <c r="B47" s="213"/>
      <c r="C47" s="225" t="s">
        <v>27</v>
      </c>
      <c r="D47" s="294">
        <f>D45*D46</f>
        <v>138.71972656482765</v>
      </c>
      <c r="E47" s="294">
        <f>E45*E46</f>
        <v>124.89024327255828</v>
      </c>
      <c r="F47" s="294">
        <f>F45*F46</f>
        <v>157.57145633200682</v>
      </c>
      <c r="G47" s="4"/>
      <c r="H47" s="4"/>
      <c r="I47" s="4"/>
      <c r="J47" s="212"/>
    </row>
    <row r="48" spans="2:10" x14ac:dyDescent="0.35">
      <c r="B48" s="213"/>
      <c r="C48" s="227" t="s">
        <v>24</v>
      </c>
      <c r="D48" s="228">
        <f>D43/D47</f>
        <v>21.626340206185564</v>
      </c>
      <c r="E48" s="228">
        <f>E43/E47</f>
        <v>24.021091811414383</v>
      </c>
      <c r="F48" s="228">
        <f>F43/F47</f>
        <v>19.038981233243973</v>
      </c>
      <c r="G48" s="4"/>
      <c r="H48" s="4"/>
      <c r="I48" s="4"/>
      <c r="J48" s="212"/>
    </row>
    <row r="49" spans="2:10" ht="15" thickBot="1" x14ac:dyDescent="0.4">
      <c r="B49" s="215"/>
      <c r="C49" s="216"/>
      <c r="D49" s="216"/>
      <c r="E49" s="216"/>
      <c r="F49" s="216"/>
      <c r="G49" s="216"/>
      <c r="H49" s="216"/>
      <c r="I49" s="216"/>
      <c r="J49" s="217"/>
    </row>
  </sheetData>
  <mergeCells count="1">
    <mergeCell ref="I11:I12"/>
  </mergeCells>
  <pageMargins left="0.25" right="0.2" top="0.25" bottom="0.25" header="0.3" footer="0.3"/>
  <pageSetup scale="7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V782"/>
  <sheetViews>
    <sheetView showGridLines="0" topLeftCell="G1" workbookViewId="0">
      <selection activeCell="U15" sqref="U15"/>
    </sheetView>
  </sheetViews>
  <sheetFormatPr defaultColWidth="8.81640625" defaultRowHeight="14.5" x14ac:dyDescent="0.35"/>
  <cols>
    <col min="1" max="1" width="1.54296875" customWidth="1"/>
    <col min="2" max="2" width="20.54296875" customWidth="1"/>
    <col min="3" max="3" width="11.81640625" style="28" customWidth="1"/>
    <col min="4" max="4" width="12.1796875" customWidth="1"/>
    <col min="5" max="5" width="13.26953125" customWidth="1"/>
    <col min="6" max="6" width="13.81640625" customWidth="1"/>
    <col min="7" max="7" width="11.26953125" style="28" customWidth="1"/>
    <col min="8" max="8" width="12.54296875" customWidth="1"/>
    <col min="9" max="9" width="12.54296875" style="28" customWidth="1"/>
    <col min="10" max="10" width="12.54296875" customWidth="1"/>
    <col min="11" max="11" width="12.54296875" style="28" customWidth="1"/>
    <col min="12" max="12" width="12.54296875" customWidth="1"/>
    <col min="13" max="13" width="11.54296875" style="28" customWidth="1"/>
    <col min="14" max="17" width="11.54296875" customWidth="1"/>
  </cols>
  <sheetData>
    <row r="1" spans="2:22" ht="7" customHeight="1" x14ac:dyDescent="0.35"/>
    <row r="2" spans="2:22" ht="18.5" x14ac:dyDescent="0.45">
      <c r="B2" s="19" t="s">
        <v>913</v>
      </c>
      <c r="C2" s="19"/>
      <c r="F2" s="57"/>
      <c r="H2" s="14"/>
      <c r="I2" s="14"/>
      <c r="J2" s="14"/>
    </row>
    <row r="3" spans="2:22" ht="15.5" x14ac:dyDescent="0.35">
      <c r="B3" s="154" t="s">
        <v>914</v>
      </c>
      <c r="C3" s="17"/>
      <c r="F3" s="57"/>
      <c r="G3" s="14"/>
      <c r="J3" s="28"/>
    </row>
    <row r="4" spans="2:22" ht="15.5" x14ac:dyDescent="0.35">
      <c r="B4" s="9"/>
      <c r="C4" s="9"/>
      <c r="F4" s="14"/>
      <c r="H4" s="28"/>
      <c r="J4" s="28"/>
      <c r="K4" s="41"/>
      <c r="L4" s="28"/>
    </row>
    <row r="5" spans="2:22" ht="29" x14ac:dyDescent="0.35">
      <c r="B5" s="40" t="s">
        <v>28</v>
      </c>
      <c r="C5" s="40" t="s">
        <v>788</v>
      </c>
      <c r="D5" s="16" t="s">
        <v>782</v>
      </c>
      <c r="E5" s="16" t="s">
        <v>779</v>
      </c>
      <c r="F5" s="16" t="s">
        <v>783</v>
      </c>
      <c r="G5" s="16" t="s">
        <v>786</v>
      </c>
      <c r="H5" s="16" t="s">
        <v>784</v>
      </c>
      <c r="I5" s="16" t="s">
        <v>787</v>
      </c>
      <c r="J5" s="16" t="s">
        <v>785</v>
      </c>
      <c r="K5" s="16" t="s">
        <v>780</v>
      </c>
      <c r="L5" s="16" t="s">
        <v>781</v>
      </c>
      <c r="M5" s="301" t="s">
        <v>1008</v>
      </c>
      <c r="N5" s="301" t="s">
        <v>1009</v>
      </c>
    </row>
    <row r="6" spans="2:22" x14ac:dyDescent="0.35">
      <c r="B6" s="10" t="s">
        <v>186</v>
      </c>
      <c r="C6" s="13" t="s">
        <v>31</v>
      </c>
      <c r="D6" s="30">
        <v>42862</v>
      </c>
      <c r="E6" s="13">
        <v>1</v>
      </c>
      <c r="F6" s="13">
        <v>1</v>
      </c>
      <c r="G6" s="13">
        <v>0</v>
      </c>
      <c r="H6" s="13">
        <v>0</v>
      </c>
      <c r="I6" s="13">
        <v>0</v>
      </c>
      <c r="J6" s="13">
        <v>0</v>
      </c>
      <c r="K6" s="56">
        <v>42885</v>
      </c>
      <c r="L6" s="32">
        <v>425</v>
      </c>
      <c r="M6" s="145">
        <f>IF(K6="", "", K6-D6)</f>
        <v>23</v>
      </c>
      <c r="N6" s="145">
        <f>IF(F6=1,1, IF(H6=1,2, IF(J6=1,3, "")))</f>
        <v>1</v>
      </c>
    </row>
    <row r="7" spans="2:22" x14ac:dyDescent="0.35">
      <c r="B7" s="10" t="s">
        <v>207</v>
      </c>
      <c r="C7" s="13" t="s">
        <v>31</v>
      </c>
      <c r="D7" s="30">
        <v>42859</v>
      </c>
      <c r="E7" s="13">
        <v>1</v>
      </c>
      <c r="F7" s="13">
        <v>1</v>
      </c>
      <c r="G7" s="13">
        <v>0</v>
      </c>
      <c r="H7" s="13">
        <v>0</v>
      </c>
      <c r="I7" s="13">
        <v>0</v>
      </c>
      <c r="J7" s="13">
        <v>0</v>
      </c>
      <c r="K7" s="56">
        <v>42866</v>
      </c>
      <c r="L7" s="32">
        <v>424</v>
      </c>
      <c r="M7" s="145">
        <f>IF(K7="", "", K7-D7)</f>
        <v>7</v>
      </c>
      <c r="N7" s="145">
        <f>IF(F7=1,1, IF(H7=1,2, IF(J7=1,3, "")))</f>
        <v>1</v>
      </c>
    </row>
    <row r="8" spans="2:22" x14ac:dyDescent="0.35">
      <c r="B8" s="10" t="s">
        <v>328</v>
      </c>
      <c r="C8" s="13" t="s">
        <v>31</v>
      </c>
      <c r="D8" s="30">
        <v>42896</v>
      </c>
      <c r="E8" s="13">
        <v>1</v>
      </c>
      <c r="F8" s="13">
        <v>1</v>
      </c>
      <c r="G8" s="13">
        <v>0</v>
      </c>
      <c r="H8" s="13">
        <v>0</v>
      </c>
      <c r="I8" s="13">
        <v>0</v>
      </c>
      <c r="J8" s="13">
        <v>0</v>
      </c>
      <c r="K8" s="56">
        <v>42919</v>
      </c>
      <c r="L8" s="32">
        <v>423</v>
      </c>
      <c r="M8" s="145">
        <f t="shared" ref="M8:M70" si="0">IF(K8="", "", K8-D8)</f>
        <v>23</v>
      </c>
      <c r="N8" s="145">
        <f>IF(F8=1,1, IF(H8=1,2, IF(J8=1,3, "")))</f>
        <v>1</v>
      </c>
    </row>
    <row r="9" spans="2:22" x14ac:dyDescent="0.35">
      <c r="B9" s="10" t="s">
        <v>628</v>
      </c>
      <c r="C9" s="13" t="s">
        <v>20</v>
      </c>
      <c r="D9" s="30">
        <v>42901</v>
      </c>
      <c r="E9" s="13">
        <v>1</v>
      </c>
      <c r="F9" s="13">
        <v>1</v>
      </c>
      <c r="G9" s="13">
        <v>0</v>
      </c>
      <c r="H9" s="13">
        <v>0</v>
      </c>
      <c r="I9" s="13">
        <v>0</v>
      </c>
      <c r="J9" s="13">
        <v>0</v>
      </c>
      <c r="K9" s="56">
        <v>42904</v>
      </c>
      <c r="L9" s="32">
        <v>422</v>
      </c>
      <c r="M9" s="145">
        <f t="shared" si="0"/>
        <v>3</v>
      </c>
      <c r="N9" s="145">
        <f>IF(F9=1,1, IF(H9=1,2, IF(J9=1,3, "")))</f>
        <v>1</v>
      </c>
    </row>
    <row r="10" spans="2:22" x14ac:dyDescent="0.35">
      <c r="B10" s="10" t="s">
        <v>629</v>
      </c>
      <c r="C10" s="13" t="s">
        <v>31</v>
      </c>
      <c r="D10" s="30">
        <v>42875</v>
      </c>
      <c r="E10" s="13">
        <v>1</v>
      </c>
      <c r="F10" s="13">
        <v>1</v>
      </c>
      <c r="G10" s="13">
        <v>0</v>
      </c>
      <c r="H10" s="13">
        <v>0</v>
      </c>
      <c r="I10" s="13">
        <v>0</v>
      </c>
      <c r="J10" s="13">
        <v>0</v>
      </c>
      <c r="K10" s="56">
        <v>42893</v>
      </c>
      <c r="L10" s="32">
        <v>421</v>
      </c>
      <c r="M10" s="145">
        <f t="shared" si="0"/>
        <v>18</v>
      </c>
      <c r="N10" s="145">
        <f t="shared" ref="N10:N70" si="1">IF(F10=1,1, IF(H10=1,2, IF(J10=1,3, "")))</f>
        <v>1</v>
      </c>
    </row>
    <row r="11" spans="2:22" x14ac:dyDescent="0.35">
      <c r="B11" s="10" t="s">
        <v>39</v>
      </c>
      <c r="C11" s="13" t="s">
        <v>20</v>
      </c>
      <c r="D11" s="30">
        <v>42842</v>
      </c>
      <c r="E11" s="13">
        <v>1</v>
      </c>
      <c r="F11" s="13">
        <v>1</v>
      </c>
      <c r="G11" s="13">
        <v>0</v>
      </c>
      <c r="H11" s="13">
        <v>0</v>
      </c>
      <c r="I11" s="13">
        <v>0</v>
      </c>
      <c r="J11" s="13">
        <v>0</v>
      </c>
      <c r="K11" s="56">
        <v>42866</v>
      </c>
      <c r="L11" s="32">
        <v>420</v>
      </c>
      <c r="M11" s="145">
        <f t="shared" si="0"/>
        <v>24</v>
      </c>
      <c r="N11" s="145">
        <f>IF(F11=1,1, IF(H11=1,2, IF(J11=1,3, "")))</f>
        <v>1</v>
      </c>
    </row>
    <row r="12" spans="2:22" x14ac:dyDescent="0.35">
      <c r="B12" s="10" t="s">
        <v>440</v>
      </c>
      <c r="C12" s="13" t="s">
        <v>31</v>
      </c>
      <c r="D12" s="30">
        <v>42891</v>
      </c>
      <c r="E12" s="13">
        <v>1</v>
      </c>
      <c r="F12" s="13">
        <v>1</v>
      </c>
      <c r="G12" s="13">
        <v>0</v>
      </c>
      <c r="H12" s="13">
        <v>0</v>
      </c>
      <c r="I12" s="13">
        <v>0</v>
      </c>
      <c r="J12" s="13">
        <v>0</v>
      </c>
      <c r="K12" s="56">
        <v>42913</v>
      </c>
      <c r="L12" s="32">
        <v>418</v>
      </c>
      <c r="M12" s="145">
        <f t="shared" si="0"/>
        <v>22</v>
      </c>
      <c r="N12" s="145">
        <f t="shared" si="1"/>
        <v>1</v>
      </c>
    </row>
    <row r="13" spans="2:22" x14ac:dyDescent="0.35">
      <c r="B13" s="10" t="s">
        <v>490</v>
      </c>
      <c r="C13" s="13" t="s">
        <v>20</v>
      </c>
      <c r="D13" s="30">
        <v>42854</v>
      </c>
      <c r="E13" s="13">
        <v>1</v>
      </c>
      <c r="F13" s="13">
        <v>1</v>
      </c>
      <c r="G13" s="13">
        <v>0</v>
      </c>
      <c r="H13" s="13">
        <v>0</v>
      </c>
      <c r="I13" s="13">
        <v>0</v>
      </c>
      <c r="J13" s="13">
        <v>0</v>
      </c>
      <c r="K13" s="56">
        <v>42878</v>
      </c>
      <c r="L13" s="32">
        <v>418</v>
      </c>
      <c r="M13" s="145">
        <f t="shared" si="0"/>
        <v>24</v>
      </c>
      <c r="N13" s="145">
        <f t="shared" si="1"/>
        <v>1</v>
      </c>
      <c r="O13" s="4"/>
      <c r="P13" s="4"/>
      <c r="Q13" s="4"/>
      <c r="R13" s="4"/>
      <c r="S13" s="4"/>
      <c r="T13" s="4"/>
      <c r="U13" s="4"/>
      <c r="V13" s="4"/>
    </row>
    <row r="14" spans="2:22" x14ac:dyDescent="0.35">
      <c r="B14" s="10" t="s">
        <v>641</v>
      </c>
      <c r="C14" s="13" t="s">
        <v>31</v>
      </c>
      <c r="D14" s="30">
        <v>42895</v>
      </c>
      <c r="E14" s="13">
        <v>1</v>
      </c>
      <c r="F14" s="13">
        <v>1</v>
      </c>
      <c r="G14" s="13">
        <v>0</v>
      </c>
      <c r="H14" s="13">
        <v>0</v>
      </c>
      <c r="I14" s="13">
        <v>0</v>
      </c>
      <c r="J14" s="13">
        <v>0</v>
      </c>
      <c r="K14" s="56">
        <v>42918</v>
      </c>
      <c r="L14" s="32">
        <v>417</v>
      </c>
      <c r="M14" s="145">
        <f t="shared" si="0"/>
        <v>23</v>
      </c>
      <c r="N14" s="145">
        <f t="shared" si="1"/>
        <v>1</v>
      </c>
      <c r="O14" s="4"/>
      <c r="P14" s="4"/>
      <c r="Q14" s="4"/>
      <c r="R14" s="4"/>
      <c r="S14" s="4"/>
      <c r="T14" s="4"/>
      <c r="U14" s="4"/>
      <c r="V14" s="4"/>
    </row>
    <row r="15" spans="2:22" x14ac:dyDescent="0.35">
      <c r="B15" s="10" t="s">
        <v>128</v>
      </c>
      <c r="C15" s="13" t="s">
        <v>31</v>
      </c>
      <c r="D15" s="30">
        <v>42880</v>
      </c>
      <c r="E15" s="13">
        <v>1</v>
      </c>
      <c r="F15" s="13">
        <v>1</v>
      </c>
      <c r="G15" s="13">
        <v>0</v>
      </c>
      <c r="H15" s="13">
        <v>0</v>
      </c>
      <c r="I15" s="13">
        <v>0</v>
      </c>
      <c r="J15" s="13">
        <v>0</v>
      </c>
      <c r="K15" s="56">
        <v>42886</v>
      </c>
      <c r="L15" s="32">
        <v>417</v>
      </c>
      <c r="M15" s="145">
        <f t="shared" si="0"/>
        <v>6</v>
      </c>
      <c r="N15" s="145">
        <f t="shared" si="1"/>
        <v>1</v>
      </c>
      <c r="O15" s="4"/>
      <c r="P15" s="4"/>
      <c r="Q15" s="4"/>
      <c r="R15" s="4"/>
      <c r="S15" s="4"/>
      <c r="T15" s="4"/>
      <c r="U15" s="4"/>
      <c r="V15" s="4"/>
    </row>
    <row r="16" spans="2:22" x14ac:dyDescent="0.35">
      <c r="B16" s="10" t="s">
        <v>302</v>
      </c>
      <c r="C16" s="13" t="s">
        <v>20</v>
      </c>
      <c r="D16" s="30">
        <v>42887</v>
      </c>
      <c r="E16" s="13">
        <v>1</v>
      </c>
      <c r="F16" s="13">
        <v>1</v>
      </c>
      <c r="G16" s="13">
        <v>0</v>
      </c>
      <c r="H16" s="13">
        <v>0</v>
      </c>
      <c r="I16" s="13">
        <v>0</v>
      </c>
      <c r="J16" s="13">
        <v>0</v>
      </c>
      <c r="K16" s="56">
        <v>42907</v>
      </c>
      <c r="L16" s="32">
        <v>416</v>
      </c>
      <c r="M16" s="145">
        <f t="shared" si="0"/>
        <v>20</v>
      </c>
      <c r="N16" s="145">
        <f t="shared" si="1"/>
        <v>1</v>
      </c>
      <c r="O16" s="4"/>
      <c r="P16" s="4"/>
      <c r="Q16" s="4"/>
      <c r="R16" s="4"/>
      <c r="S16" s="4"/>
      <c r="T16" s="4"/>
      <c r="U16" s="4"/>
      <c r="V16" s="4"/>
    </row>
    <row r="17" spans="2:22" x14ac:dyDescent="0.35">
      <c r="B17" s="10" t="s">
        <v>961</v>
      </c>
      <c r="C17" s="13" t="s">
        <v>31</v>
      </c>
      <c r="D17" s="30">
        <v>42890</v>
      </c>
      <c r="E17" s="13">
        <v>1</v>
      </c>
      <c r="F17" s="13">
        <v>1</v>
      </c>
      <c r="G17" s="13">
        <v>0</v>
      </c>
      <c r="H17" s="13">
        <v>0</v>
      </c>
      <c r="I17" s="13">
        <v>0</v>
      </c>
      <c r="J17" s="13">
        <v>0</v>
      </c>
      <c r="K17" s="56">
        <v>42896</v>
      </c>
      <c r="L17" s="32">
        <v>416</v>
      </c>
      <c r="M17" s="145">
        <f t="shared" si="0"/>
        <v>6</v>
      </c>
      <c r="N17" s="145">
        <f t="shared" si="1"/>
        <v>1</v>
      </c>
      <c r="O17" s="4"/>
      <c r="P17" s="4"/>
      <c r="Q17" s="4"/>
      <c r="R17" s="4"/>
      <c r="S17" s="4"/>
      <c r="T17" s="4"/>
      <c r="U17" s="4"/>
      <c r="V17" s="4"/>
    </row>
    <row r="18" spans="2:22" x14ac:dyDescent="0.35">
      <c r="B18" s="10" t="s">
        <v>266</v>
      </c>
      <c r="C18" s="13" t="s">
        <v>31</v>
      </c>
      <c r="D18" s="30">
        <v>42911</v>
      </c>
      <c r="E18" s="13">
        <v>1</v>
      </c>
      <c r="F18" s="13">
        <v>1</v>
      </c>
      <c r="G18" s="13">
        <v>0</v>
      </c>
      <c r="H18" s="13">
        <v>0</v>
      </c>
      <c r="I18" s="13">
        <v>0</v>
      </c>
      <c r="J18" s="13">
        <v>0</v>
      </c>
      <c r="K18" s="56">
        <v>42934</v>
      </c>
      <c r="L18" s="32">
        <v>416</v>
      </c>
      <c r="M18" s="145">
        <f t="shared" si="0"/>
        <v>23</v>
      </c>
      <c r="N18" s="145">
        <f t="shared" si="1"/>
        <v>1</v>
      </c>
      <c r="O18" s="4"/>
      <c r="P18" s="4"/>
      <c r="Q18" s="4"/>
      <c r="R18" s="4"/>
      <c r="S18" s="4"/>
      <c r="T18" s="4"/>
      <c r="U18" s="4"/>
      <c r="V18" s="4"/>
    </row>
    <row r="19" spans="2:22" x14ac:dyDescent="0.35">
      <c r="B19" s="10" t="s">
        <v>517</v>
      </c>
      <c r="C19" s="13" t="s">
        <v>31</v>
      </c>
      <c r="D19" s="30">
        <v>42826</v>
      </c>
      <c r="E19" s="13">
        <v>1</v>
      </c>
      <c r="F19" s="13">
        <v>1</v>
      </c>
      <c r="G19" s="13">
        <v>0</v>
      </c>
      <c r="H19" s="13">
        <v>0</v>
      </c>
      <c r="I19" s="13">
        <v>0</v>
      </c>
      <c r="J19" s="13">
        <v>0</v>
      </c>
      <c r="K19" s="56">
        <v>42827</v>
      </c>
      <c r="L19" s="32">
        <v>414</v>
      </c>
      <c r="M19" s="145">
        <f t="shared" si="0"/>
        <v>1</v>
      </c>
      <c r="N19" s="145">
        <f t="shared" si="1"/>
        <v>1</v>
      </c>
      <c r="O19" s="4"/>
      <c r="P19" s="4"/>
      <c r="Q19" s="4"/>
      <c r="R19" s="4"/>
      <c r="S19" s="4"/>
      <c r="T19" s="4"/>
      <c r="U19" s="4"/>
      <c r="V19" s="4"/>
    </row>
    <row r="20" spans="2:22" x14ac:dyDescent="0.35">
      <c r="B20" s="10" t="s">
        <v>586</v>
      </c>
      <c r="C20" s="13" t="s">
        <v>31</v>
      </c>
      <c r="D20" s="30">
        <v>42899</v>
      </c>
      <c r="E20" s="13">
        <v>1</v>
      </c>
      <c r="F20" s="13">
        <v>1</v>
      </c>
      <c r="G20" s="13">
        <v>0</v>
      </c>
      <c r="H20" s="13">
        <v>0</v>
      </c>
      <c r="I20" s="13">
        <v>0</v>
      </c>
      <c r="J20" s="13">
        <v>0</v>
      </c>
      <c r="K20" s="56">
        <v>42920</v>
      </c>
      <c r="L20" s="32">
        <v>413</v>
      </c>
      <c r="M20" s="145">
        <f t="shared" si="0"/>
        <v>21</v>
      </c>
      <c r="N20" s="145">
        <f t="shared" si="1"/>
        <v>1</v>
      </c>
      <c r="O20" s="4"/>
      <c r="P20" s="4"/>
      <c r="Q20" s="4"/>
      <c r="R20" s="4"/>
      <c r="S20" s="4"/>
      <c r="T20" s="4"/>
      <c r="U20" s="4"/>
      <c r="V20" s="4"/>
    </row>
    <row r="21" spans="2:22" x14ac:dyDescent="0.35">
      <c r="B21" s="10" t="s">
        <v>577</v>
      </c>
      <c r="C21" s="13" t="s">
        <v>31</v>
      </c>
      <c r="D21" s="30">
        <v>42866</v>
      </c>
      <c r="E21" s="13">
        <v>1</v>
      </c>
      <c r="F21" s="13">
        <v>1</v>
      </c>
      <c r="G21" s="13">
        <v>0</v>
      </c>
      <c r="H21" s="13">
        <v>0</v>
      </c>
      <c r="I21" s="13">
        <v>0</v>
      </c>
      <c r="J21" s="13">
        <v>0</v>
      </c>
      <c r="K21" s="56">
        <v>42878</v>
      </c>
      <c r="L21" s="32">
        <v>411</v>
      </c>
      <c r="M21" s="145">
        <f t="shared" si="0"/>
        <v>12</v>
      </c>
      <c r="N21" s="145">
        <f t="shared" si="1"/>
        <v>1</v>
      </c>
      <c r="O21" s="4"/>
      <c r="P21" s="4"/>
      <c r="Q21" s="4"/>
      <c r="R21" s="4"/>
      <c r="S21" s="4"/>
      <c r="T21" s="4"/>
      <c r="U21" s="4"/>
      <c r="V21" s="4"/>
    </row>
    <row r="22" spans="2:22" x14ac:dyDescent="0.35">
      <c r="B22" s="10" t="s">
        <v>46</v>
      </c>
      <c r="C22" s="13" t="s">
        <v>31</v>
      </c>
      <c r="D22" s="30">
        <v>42870</v>
      </c>
      <c r="E22" s="13">
        <v>1</v>
      </c>
      <c r="F22" s="13">
        <v>1</v>
      </c>
      <c r="G22" s="13">
        <v>0</v>
      </c>
      <c r="H22" s="13">
        <v>0</v>
      </c>
      <c r="I22" s="13">
        <v>0</v>
      </c>
      <c r="J22" s="13">
        <v>0</v>
      </c>
      <c r="K22" s="56">
        <v>42894</v>
      </c>
      <c r="L22" s="32">
        <v>410</v>
      </c>
      <c r="M22" s="145">
        <f t="shared" si="0"/>
        <v>24</v>
      </c>
      <c r="N22" s="145">
        <f t="shared" si="1"/>
        <v>1</v>
      </c>
      <c r="O22" s="4"/>
      <c r="P22" s="4"/>
      <c r="Q22" s="4"/>
      <c r="R22" s="4"/>
      <c r="S22" s="4"/>
      <c r="T22" s="4"/>
      <c r="U22" s="4"/>
      <c r="V22" s="4"/>
    </row>
    <row r="23" spans="2:22" x14ac:dyDescent="0.35">
      <c r="B23" s="10" t="s">
        <v>212</v>
      </c>
      <c r="C23" s="13" t="s">
        <v>31</v>
      </c>
      <c r="D23" s="30">
        <v>42865</v>
      </c>
      <c r="E23" s="13">
        <v>1</v>
      </c>
      <c r="F23" s="13">
        <v>1</v>
      </c>
      <c r="G23" s="13">
        <v>0</v>
      </c>
      <c r="H23" s="13">
        <v>0</v>
      </c>
      <c r="I23" s="13">
        <v>0</v>
      </c>
      <c r="J23" s="13">
        <v>0</v>
      </c>
      <c r="K23" s="56">
        <v>42881</v>
      </c>
      <c r="L23" s="32">
        <v>410</v>
      </c>
      <c r="M23" s="145">
        <f t="shared" si="0"/>
        <v>16</v>
      </c>
      <c r="N23" s="145">
        <f t="shared" si="1"/>
        <v>1</v>
      </c>
      <c r="O23" s="4"/>
      <c r="P23" s="4"/>
      <c r="Q23" s="4"/>
      <c r="R23" s="4"/>
      <c r="S23" s="4"/>
      <c r="T23" s="4"/>
      <c r="U23" s="4"/>
      <c r="V23" s="4"/>
    </row>
    <row r="24" spans="2:22" x14ac:dyDescent="0.35">
      <c r="B24" s="10" t="s">
        <v>259</v>
      </c>
      <c r="C24" s="13" t="s">
        <v>31</v>
      </c>
      <c r="D24" s="30">
        <v>42875</v>
      </c>
      <c r="E24" s="13">
        <v>1</v>
      </c>
      <c r="F24" s="13">
        <v>1</v>
      </c>
      <c r="G24" s="13">
        <v>0</v>
      </c>
      <c r="H24" s="13">
        <v>0</v>
      </c>
      <c r="I24" s="13">
        <v>0</v>
      </c>
      <c r="J24" s="13">
        <v>0</v>
      </c>
      <c r="K24" s="56">
        <v>42893</v>
      </c>
      <c r="L24" s="32">
        <v>410</v>
      </c>
      <c r="M24" s="145">
        <f t="shared" si="0"/>
        <v>18</v>
      </c>
      <c r="N24" s="145">
        <f t="shared" si="1"/>
        <v>1</v>
      </c>
      <c r="O24" s="4"/>
      <c r="P24" s="4"/>
      <c r="Q24" s="4"/>
      <c r="R24" s="4"/>
      <c r="S24" s="4"/>
      <c r="T24" s="4"/>
      <c r="U24" s="4"/>
      <c r="V24" s="4"/>
    </row>
    <row r="25" spans="2:22" x14ac:dyDescent="0.35">
      <c r="B25" s="10" t="s">
        <v>703</v>
      </c>
      <c r="C25" s="13" t="s">
        <v>20</v>
      </c>
      <c r="D25" s="30">
        <v>42907</v>
      </c>
      <c r="E25" s="13">
        <v>1</v>
      </c>
      <c r="F25" s="13">
        <v>0</v>
      </c>
      <c r="G25" s="13">
        <v>1</v>
      </c>
      <c r="H25" s="13">
        <v>1</v>
      </c>
      <c r="I25" s="13">
        <v>0</v>
      </c>
      <c r="J25" s="13">
        <v>0</v>
      </c>
      <c r="K25" s="56">
        <v>42947</v>
      </c>
      <c r="L25" s="32">
        <v>410</v>
      </c>
      <c r="M25" s="145">
        <f t="shared" si="0"/>
        <v>40</v>
      </c>
      <c r="N25" s="145">
        <f t="shared" si="1"/>
        <v>2</v>
      </c>
      <c r="O25" s="4"/>
      <c r="P25" s="4"/>
      <c r="Q25" s="4"/>
      <c r="R25" s="4"/>
      <c r="S25" s="4"/>
      <c r="T25" s="4"/>
      <c r="U25" s="4"/>
      <c r="V25" s="4"/>
    </row>
    <row r="26" spans="2:22" x14ac:dyDescent="0.35">
      <c r="B26" s="10" t="s">
        <v>690</v>
      </c>
      <c r="C26" s="13" t="s">
        <v>31</v>
      </c>
      <c r="D26" s="30">
        <v>42864</v>
      </c>
      <c r="E26" s="13">
        <v>1</v>
      </c>
      <c r="F26" s="13">
        <v>1</v>
      </c>
      <c r="G26" s="13">
        <v>0</v>
      </c>
      <c r="H26" s="13">
        <v>0</v>
      </c>
      <c r="I26" s="13">
        <v>0</v>
      </c>
      <c r="J26" s="13">
        <v>0</v>
      </c>
      <c r="K26" s="56">
        <v>42872</v>
      </c>
      <c r="L26" s="32">
        <v>409</v>
      </c>
      <c r="M26" s="145">
        <f t="shared" si="0"/>
        <v>8</v>
      </c>
      <c r="N26" s="145">
        <f t="shared" si="1"/>
        <v>1</v>
      </c>
      <c r="O26" s="4"/>
      <c r="P26" s="4"/>
      <c r="Q26" s="4"/>
      <c r="R26" s="4"/>
      <c r="S26" s="4"/>
      <c r="T26" s="4"/>
      <c r="U26" s="4"/>
      <c r="V26" s="4"/>
    </row>
    <row r="27" spans="2:22" x14ac:dyDescent="0.35">
      <c r="B27" s="10" t="s">
        <v>287</v>
      </c>
      <c r="C27" s="13" t="s">
        <v>20</v>
      </c>
      <c r="D27" s="30">
        <v>42826</v>
      </c>
      <c r="E27" s="13">
        <v>1</v>
      </c>
      <c r="F27" s="13">
        <v>1</v>
      </c>
      <c r="G27" s="13">
        <v>0</v>
      </c>
      <c r="H27" s="13">
        <v>0</v>
      </c>
      <c r="I27" s="13">
        <v>0</v>
      </c>
      <c r="J27" s="13">
        <v>0</v>
      </c>
      <c r="K27" s="56">
        <v>42842</v>
      </c>
      <c r="L27" s="32">
        <v>409</v>
      </c>
      <c r="M27" s="145">
        <f t="shared" si="0"/>
        <v>16</v>
      </c>
      <c r="N27" s="145">
        <f t="shared" si="1"/>
        <v>1</v>
      </c>
      <c r="O27" s="4"/>
      <c r="P27" s="4"/>
      <c r="Q27" s="4"/>
      <c r="R27" s="4"/>
      <c r="S27" s="4"/>
      <c r="T27" s="4"/>
      <c r="U27" s="4"/>
      <c r="V27" s="4"/>
    </row>
    <row r="28" spans="2:22" x14ac:dyDescent="0.35">
      <c r="B28" s="10" t="s">
        <v>113</v>
      </c>
      <c r="C28" s="13" t="s">
        <v>31</v>
      </c>
      <c r="D28" s="30">
        <v>42866</v>
      </c>
      <c r="E28" s="13">
        <v>1</v>
      </c>
      <c r="F28" s="13">
        <v>1</v>
      </c>
      <c r="G28" s="13">
        <v>0</v>
      </c>
      <c r="H28" s="13">
        <v>0</v>
      </c>
      <c r="I28" s="13">
        <v>0</v>
      </c>
      <c r="J28" s="13">
        <v>0</v>
      </c>
      <c r="K28" s="56">
        <v>42884</v>
      </c>
      <c r="L28" s="32">
        <v>409</v>
      </c>
      <c r="M28" s="145">
        <f t="shared" si="0"/>
        <v>18</v>
      </c>
      <c r="N28" s="145">
        <f t="shared" si="1"/>
        <v>1</v>
      </c>
      <c r="O28" s="4"/>
      <c r="P28" s="4"/>
      <c r="Q28" s="4"/>
      <c r="R28" s="4"/>
      <c r="S28" s="4"/>
      <c r="T28" s="4"/>
      <c r="U28" s="4"/>
      <c r="V28" s="4"/>
    </row>
    <row r="29" spans="2:22" x14ac:dyDescent="0.35">
      <c r="B29" s="10" t="s">
        <v>528</v>
      </c>
      <c r="C29" s="13" t="s">
        <v>31</v>
      </c>
      <c r="D29" s="30">
        <v>42850</v>
      </c>
      <c r="E29" s="13">
        <v>1</v>
      </c>
      <c r="F29" s="13">
        <v>0</v>
      </c>
      <c r="G29" s="13">
        <v>1</v>
      </c>
      <c r="H29" s="13">
        <v>0</v>
      </c>
      <c r="I29" s="13">
        <v>1</v>
      </c>
      <c r="J29" s="13">
        <v>1</v>
      </c>
      <c r="K29" s="56">
        <v>42917</v>
      </c>
      <c r="L29" s="32">
        <v>409</v>
      </c>
      <c r="M29" s="145">
        <f t="shared" si="0"/>
        <v>67</v>
      </c>
      <c r="N29" s="145">
        <f t="shared" si="1"/>
        <v>3</v>
      </c>
      <c r="O29" s="4"/>
      <c r="P29" s="4"/>
      <c r="Q29" s="4"/>
      <c r="R29" s="4"/>
      <c r="S29" s="4"/>
      <c r="T29" s="4"/>
      <c r="U29" s="4"/>
      <c r="V29" s="4"/>
    </row>
    <row r="30" spans="2:22" x14ac:dyDescent="0.35">
      <c r="B30" s="10" t="s">
        <v>152</v>
      </c>
      <c r="C30" s="13" t="s">
        <v>20</v>
      </c>
      <c r="D30" s="30">
        <v>42870</v>
      </c>
      <c r="E30" s="13">
        <v>1</v>
      </c>
      <c r="F30" s="13">
        <v>1</v>
      </c>
      <c r="G30" s="13">
        <v>0</v>
      </c>
      <c r="H30" s="13">
        <v>0</v>
      </c>
      <c r="I30" s="13">
        <v>0</v>
      </c>
      <c r="J30" s="13">
        <v>0</v>
      </c>
      <c r="K30" s="56">
        <v>42889</v>
      </c>
      <c r="L30" s="32">
        <v>408</v>
      </c>
      <c r="M30" s="145">
        <f t="shared" si="0"/>
        <v>19</v>
      </c>
      <c r="N30" s="145">
        <f t="shared" si="1"/>
        <v>1</v>
      </c>
      <c r="O30" s="4"/>
      <c r="P30" s="4"/>
      <c r="Q30" s="4"/>
      <c r="R30" s="4"/>
      <c r="S30" s="4"/>
      <c r="T30" s="4"/>
      <c r="U30" s="4"/>
      <c r="V30" s="4"/>
    </row>
    <row r="31" spans="2:22" x14ac:dyDescent="0.35">
      <c r="B31" s="10" t="s">
        <v>962</v>
      </c>
      <c r="C31" s="13" t="s">
        <v>20</v>
      </c>
      <c r="D31" s="30">
        <v>42906</v>
      </c>
      <c r="E31" s="13">
        <v>1</v>
      </c>
      <c r="F31" s="13">
        <v>1</v>
      </c>
      <c r="G31" s="13">
        <v>0</v>
      </c>
      <c r="H31" s="13">
        <v>0</v>
      </c>
      <c r="I31" s="13">
        <v>0</v>
      </c>
      <c r="J31" s="13">
        <v>0</v>
      </c>
      <c r="K31" s="56">
        <v>42920</v>
      </c>
      <c r="L31" s="32">
        <v>407</v>
      </c>
      <c r="M31" s="145">
        <f t="shared" si="0"/>
        <v>14</v>
      </c>
      <c r="N31" s="145">
        <f t="shared" si="1"/>
        <v>1</v>
      </c>
      <c r="O31" s="4"/>
      <c r="P31" s="4"/>
      <c r="Q31" s="4"/>
      <c r="R31" s="4"/>
      <c r="S31" s="4"/>
      <c r="T31" s="4"/>
      <c r="U31" s="4"/>
      <c r="V31" s="4"/>
    </row>
    <row r="32" spans="2:22" x14ac:dyDescent="0.35">
      <c r="B32" s="10" t="s">
        <v>240</v>
      </c>
      <c r="C32" s="13" t="s">
        <v>31</v>
      </c>
      <c r="D32" s="30">
        <v>42848</v>
      </c>
      <c r="E32" s="13">
        <v>1</v>
      </c>
      <c r="F32" s="13">
        <v>1</v>
      </c>
      <c r="G32" s="13">
        <v>0</v>
      </c>
      <c r="H32" s="13">
        <v>0</v>
      </c>
      <c r="I32" s="13">
        <v>0</v>
      </c>
      <c r="J32" s="13">
        <v>0</v>
      </c>
      <c r="K32" s="56">
        <v>42864</v>
      </c>
      <c r="L32" s="32">
        <v>407</v>
      </c>
      <c r="M32" s="145">
        <f t="shared" si="0"/>
        <v>16</v>
      </c>
      <c r="N32" s="145">
        <f t="shared" si="1"/>
        <v>1</v>
      </c>
      <c r="O32" s="4"/>
      <c r="P32" s="4"/>
      <c r="Q32" s="4"/>
      <c r="R32" s="4"/>
      <c r="S32" s="4"/>
      <c r="T32" s="4"/>
      <c r="U32" s="4"/>
      <c r="V32" s="4"/>
    </row>
    <row r="33" spans="2:22" x14ac:dyDescent="0.35">
      <c r="B33" s="10" t="s">
        <v>651</v>
      </c>
      <c r="C33" s="13" t="s">
        <v>31</v>
      </c>
      <c r="D33" s="30">
        <v>42898</v>
      </c>
      <c r="E33" s="13">
        <v>1</v>
      </c>
      <c r="F33" s="13">
        <v>1</v>
      </c>
      <c r="G33" s="13">
        <v>0</v>
      </c>
      <c r="H33" s="13">
        <v>0</v>
      </c>
      <c r="I33" s="13">
        <v>0</v>
      </c>
      <c r="J33" s="13">
        <v>0</v>
      </c>
      <c r="K33" s="56">
        <v>42905</v>
      </c>
      <c r="L33" s="32">
        <v>406</v>
      </c>
      <c r="M33" s="145">
        <f t="shared" si="0"/>
        <v>7</v>
      </c>
      <c r="N33" s="145">
        <f t="shared" si="1"/>
        <v>1</v>
      </c>
      <c r="O33" s="4"/>
      <c r="P33" s="4"/>
      <c r="Q33" s="4"/>
      <c r="R33" s="4"/>
      <c r="S33" s="4"/>
      <c r="T33" s="4"/>
      <c r="U33" s="4"/>
      <c r="V33" s="4"/>
    </row>
    <row r="34" spans="2:22" x14ac:dyDescent="0.35">
      <c r="B34" s="10" t="s">
        <v>469</v>
      </c>
      <c r="C34" s="13" t="s">
        <v>20</v>
      </c>
      <c r="D34" s="30">
        <v>42871</v>
      </c>
      <c r="E34" s="13">
        <v>1</v>
      </c>
      <c r="F34" s="13">
        <v>1</v>
      </c>
      <c r="G34" s="13">
        <v>0</v>
      </c>
      <c r="H34" s="13">
        <v>0</v>
      </c>
      <c r="I34" s="13">
        <v>0</v>
      </c>
      <c r="J34" s="13">
        <v>0</v>
      </c>
      <c r="K34" s="56">
        <v>42879</v>
      </c>
      <c r="L34" s="32">
        <v>405</v>
      </c>
      <c r="M34" s="145">
        <f t="shared" si="0"/>
        <v>8</v>
      </c>
      <c r="N34" s="145">
        <f t="shared" si="1"/>
        <v>1</v>
      </c>
      <c r="O34" s="4"/>
      <c r="P34" s="4"/>
      <c r="Q34" s="4"/>
      <c r="R34" s="4"/>
      <c r="S34" s="4"/>
      <c r="T34" s="4"/>
      <c r="U34" s="4"/>
      <c r="V34" s="4"/>
    </row>
    <row r="35" spans="2:22" x14ac:dyDescent="0.35">
      <c r="B35" s="10" t="s">
        <v>741</v>
      </c>
      <c r="C35" s="13" t="s">
        <v>31</v>
      </c>
      <c r="D35" s="30">
        <v>42859</v>
      </c>
      <c r="E35" s="13">
        <v>1</v>
      </c>
      <c r="F35" s="13">
        <v>1</v>
      </c>
      <c r="G35" s="13">
        <v>0</v>
      </c>
      <c r="H35" s="13">
        <v>0</v>
      </c>
      <c r="I35" s="13">
        <v>0</v>
      </c>
      <c r="J35" s="13">
        <v>0</v>
      </c>
      <c r="K35" s="56">
        <v>42862</v>
      </c>
      <c r="L35" s="32">
        <v>401</v>
      </c>
      <c r="M35" s="145">
        <f t="shared" si="0"/>
        <v>3</v>
      </c>
      <c r="N35" s="145">
        <f t="shared" si="1"/>
        <v>1</v>
      </c>
      <c r="O35" s="4"/>
      <c r="P35" s="4"/>
      <c r="Q35" s="4"/>
      <c r="R35" s="4"/>
      <c r="S35" s="4"/>
      <c r="T35" s="4"/>
      <c r="U35" s="4"/>
      <c r="V35" s="4"/>
    </row>
    <row r="36" spans="2:22" x14ac:dyDescent="0.35">
      <c r="B36" s="10" t="s">
        <v>695</v>
      </c>
      <c r="C36" s="13" t="s">
        <v>20</v>
      </c>
      <c r="D36" s="30">
        <v>42839</v>
      </c>
      <c r="E36" s="13">
        <v>1</v>
      </c>
      <c r="F36" s="13">
        <v>1</v>
      </c>
      <c r="G36" s="13">
        <v>0</v>
      </c>
      <c r="H36" s="13">
        <v>0</v>
      </c>
      <c r="I36" s="13">
        <v>0</v>
      </c>
      <c r="J36" s="13">
        <v>0</v>
      </c>
      <c r="K36" s="56">
        <v>42852</v>
      </c>
      <c r="L36" s="32">
        <v>401</v>
      </c>
      <c r="M36" s="145">
        <f t="shared" si="0"/>
        <v>13</v>
      </c>
      <c r="N36" s="145">
        <f t="shared" si="1"/>
        <v>1</v>
      </c>
      <c r="O36" s="4"/>
      <c r="P36" s="4"/>
      <c r="Q36" s="4"/>
      <c r="R36" s="4"/>
      <c r="S36" s="4"/>
      <c r="T36" s="4"/>
      <c r="U36" s="4"/>
      <c r="V36" s="4"/>
    </row>
    <row r="37" spans="2:22" x14ac:dyDescent="0.35">
      <c r="B37" s="10" t="s">
        <v>443</v>
      </c>
      <c r="C37" s="13" t="s">
        <v>20</v>
      </c>
      <c r="D37" s="30">
        <v>42912</v>
      </c>
      <c r="E37" s="13">
        <v>1</v>
      </c>
      <c r="F37" s="13">
        <v>1</v>
      </c>
      <c r="G37" s="13">
        <v>0</v>
      </c>
      <c r="H37" s="13">
        <v>0</v>
      </c>
      <c r="I37" s="13">
        <v>0</v>
      </c>
      <c r="J37" s="13">
        <v>0</v>
      </c>
      <c r="K37" s="56">
        <v>42917</v>
      </c>
      <c r="L37" s="32">
        <v>400</v>
      </c>
      <c r="M37" s="145">
        <f t="shared" si="0"/>
        <v>5</v>
      </c>
      <c r="N37" s="145">
        <f t="shared" si="1"/>
        <v>1</v>
      </c>
      <c r="O37" s="4"/>
      <c r="P37" s="4"/>
      <c r="Q37" s="4"/>
      <c r="R37" s="4"/>
      <c r="S37" s="4"/>
      <c r="T37" s="4"/>
      <c r="U37" s="4"/>
      <c r="V37" s="4"/>
    </row>
    <row r="38" spans="2:22" x14ac:dyDescent="0.35">
      <c r="B38" s="10" t="s">
        <v>687</v>
      </c>
      <c r="C38" s="13" t="s">
        <v>31</v>
      </c>
      <c r="D38" s="30">
        <v>42891</v>
      </c>
      <c r="E38" s="13">
        <v>1</v>
      </c>
      <c r="F38" s="13">
        <v>1</v>
      </c>
      <c r="G38" s="13">
        <v>0</v>
      </c>
      <c r="H38" s="13">
        <v>0</v>
      </c>
      <c r="I38" s="13">
        <v>0</v>
      </c>
      <c r="J38" s="13">
        <v>0</v>
      </c>
      <c r="K38" s="56">
        <v>42894</v>
      </c>
      <c r="L38" s="32">
        <v>400</v>
      </c>
      <c r="M38" s="145">
        <f t="shared" si="0"/>
        <v>3</v>
      </c>
      <c r="N38" s="145">
        <f t="shared" si="1"/>
        <v>1</v>
      </c>
      <c r="O38" s="4"/>
      <c r="P38" s="4"/>
      <c r="Q38" s="4"/>
      <c r="R38" s="4"/>
      <c r="S38" s="4"/>
      <c r="T38" s="4"/>
      <c r="U38" s="4"/>
      <c r="V38" s="4"/>
    </row>
    <row r="39" spans="2:22" x14ac:dyDescent="0.35">
      <c r="B39" s="10" t="s">
        <v>649</v>
      </c>
      <c r="C39" s="13" t="s">
        <v>31</v>
      </c>
      <c r="D39" s="30">
        <v>42916</v>
      </c>
      <c r="E39" s="13">
        <v>1</v>
      </c>
      <c r="F39" s="13">
        <v>1</v>
      </c>
      <c r="G39" s="13">
        <v>0</v>
      </c>
      <c r="H39" s="13">
        <v>0</v>
      </c>
      <c r="I39" s="13">
        <v>0</v>
      </c>
      <c r="J39" s="13">
        <v>0</v>
      </c>
      <c r="K39" s="56">
        <v>42936</v>
      </c>
      <c r="L39" s="32">
        <v>400</v>
      </c>
      <c r="M39" s="145">
        <f t="shared" si="0"/>
        <v>20</v>
      </c>
      <c r="N39" s="145">
        <f t="shared" si="1"/>
        <v>1</v>
      </c>
      <c r="O39" s="4"/>
      <c r="P39" s="4"/>
      <c r="Q39" s="4"/>
      <c r="R39" s="4"/>
      <c r="S39" s="4"/>
      <c r="T39" s="4"/>
      <c r="U39" s="4"/>
      <c r="V39" s="4"/>
    </row>
    <row r="40" spans="2:22" x14ac:dyDescent="0.35">
      <c r="B40" s="10" t="s">
        <v>963</v>
      </c>
      <c r="C40" s="13" t="s">
        <v>31</v>
      </c>
      <c r="D40" s="30">
        <v>42866</v>
      </c>
      <c r="E40" s="13">
        <v>1</v>
      </c>
      <c r="F40" s="13">
        <v>1</v>
      </c>
      <c r="G40" s="13">
        <v>0</v>
      </c>
      <c r="H40" s="13">
        <v>0</v>
      </c>
      <c r="I40" s="13">
        <v>0</v>
      </c>
      <c r="J40" s="13">
        <v>0</v>
      </c>
      <c r="K40" s="56">
        <v>42872</v>
      </c>
      <c r="L40" s="32">
        <v>399</v>
      </c>
      <c r="M40" s="145">
        <f t="shared" si="0"/>
        <v>6</v>
      </c>
      <c r="N40" s="145">
        <f t="shared" si="1"/>
        <v>1</v>
      </c>
      <c r="O40" s="4"/>
      <c r="P40" s="4"/>
      <c r="Q40" s="4"/>
      <c r="R40" s="4"/>
      <c r="S40" s="4"/>
      <c r="T40" s="4"/>
      <c r="U40" s="4"/>
      <c r="V40" s="4"/>
    </row>
    <row r="41" spans="2:22" x14ac:dyDescent="0.35">
      <c r="B41" s="10" t="s">
        <v>702</v>
      </c>
      <c r="C41" s="13" t="s">
        <v>20</v>
      </c>
      <c r="D41" s="30">
        <v>42910</v>
      </c>
      <c r="E41" s="13">
        <v>1</v>
      </c>
      <c r="F41" s="13">
        <v>0</v>
      </c>
      <c r="G41" s="13">
        <v>1</v>
      </c>
      <c r="H41" s="13">
        <v>1</v>
      </c>
      <c r="I41" s="13">
        <v>0</v>
      </c>
      <c r="J41" s="13">
        <v>0</v>
      </c>
      <c r="K41" s="56">
        <v>42941</v>
      </c>
      <c r="L41" s="32">
        <v>399</v>
      </c>
      <c r="M41" s="145">
        <f t="shared" si="0"/>
        <v>31</v>
      </c>
      <c r="N41" s="145">
        <f t="shared" si="1"/>
        <v>2</v>
      </c>
      <c r="O41" s="4"/>
      <c r="P41" s="4"/>
      <c r="Q41" s="4"/>
      <c r="R41" s="4"/>
      <c r="S41" s="4"/>
      <c r="T41" s="4"/>
      <c r="U41" s="4"/>
      <c r="V41" s="4"/>
    </row>
    <row r="42" spans="2:22" x14ac:dyDescent="0.35">
      <c r="B42" s="10" t="s">
        <v>260</v>
      </c>
      <c r="C42" s="13" t="s">
        <v>31</v>
      </c>
      <c r="D42" s="30">
        <v>42866</v>
      </c>
      <c r="E42" s="13">
        <v>1</v>
      </c>
      <c r="F42" s="13">
        <v>1</v>
      </c>
      <c r="G42" s="13">
        <v>0</v>
      </c>
      <c r="H42" s="13">
        <v>0</v>
      </c>
      <c r="I42" s="13">
        <v>0</v>
      </c>
      <c r="J42" s="13">
        <v>0</v>
      </c>
      <c r="K42" s="56">
        <v>42886</v>
      </c>
      <c r="L42" s="32">
        <v>398</v>
      </c>
      <c r="M42" s="145">
        <f t="shared" si="0"/>
        <v>20</v>
      </c>
      <c r="N42" s="145">
        <f t="shared" si="1"/>
        <v>1</v>
      </c>
      <c r="O42" s="4"/>
      <c r="P42" s="4"/>
      <c r="Q42" s="4"/>
      <c r="R42" s="4"/>
      <c r="S42" s="4"/>
      <c r="T42" s="4"/>
      <c r="U42" s="4"/>
      <c r="V42" s="4"/>
    </row>
    <row r="43" spans="2:22" x14ac:dyDescent="0.35">
      <c r="B43" s="10" t="s">
        <v>562</v>
      </c>
      <c r="C43" s="13" t="s">
        <v>31</v>
      </c>
      <c r="D43" s="30">
        <v>42835</v>
      </c>
      <c r="E43" s="13">
        <v>1</v>
      </c>
      <c r="F43" s="13">
        <v>1</v>
      </c>
      <c r="G43" s="13">
        <v>0</v>
      </c>
      <c r="H43" s="13">
        <v>0</v>
      </c>
      <c r="I43" s="13">
        <v>0</v>
      </c>
      <c r="J43" s="13">
        <v>0</v>
      </c>
      <c r="K43" s="56">
        <v>42851</v>
      </c>
      <c r="L43" s="32">
        <v>396</v>
      </c>
      <c r="M43" s="145">
        <f t="shared" si="0"/>
        <v>16</v>
      </c>
      <c r="N43" s="145">
        <f t="shared" si="1"/>
        <v>1</v>
      </c>
      <c r="O43" s="4"/>
      <c r="P43" s="4"/>
      <c r="Q43" s="4"/>
      <c r="R43" s="4"/>
      <c r="S43" s="4"/>
      <c r="T43" s="4"/>
      <c r="U43" s="4"/>
      <c r="V43" s="4"/>
    </row>
    <row r="44" spans="2:22" x14ac:dyDescent="0.35">
      <c r="B44" s="10" t="s">
        <v>402</v>
      </c>
      <c r="C44" s="13" t="s">
        <v>20</v>
      </c>
      <c r="D44" s="30">
        <v>42884</v>
      </c>
      <c r="E44" s="13">
        <v>1</v>
      </c>
      <c r="F44" s="13">
        <v>1</v>
      </c>
      <c r="G44" s="13">
        <v>0</v>
      </c>
      <c r="H44" s="13">
        <v>0</v>
      </c>
      <c r="I44" s="13">
        <v>0</v>
      </c>
      <c r="J44" s="13">
        <v>0</v>
      </c>
      <c r="K44" s="56">
        <v>42904</v>
      </c>
      <c r="L44" s="32">
        <v>396</v>
      </c>
      <c r="M44" s="145">
        <f t="shared" si="0"/>
        <v>20</v>
      </c>
      <c r="N44" s="145">
        <f t="shared" si="1"/>
        <v>1</v>
      </c>
      <c r="O44" s="4"/>
      <c r="P44" s="4"/>
      <c r="Q44" s="4"/>
      <c r="R44" s="4"/>
      <c r="S44" s="4"/>
      <c r="T44" s="4"/>
      <c r="U44" s="4"/>
      <c r="V44" s="4"/>
    </row>
    <row r="45" spans="2:22" x14ac:dyDescent="0.35">
      <c r="B45" s="10" t="s">
        <v>581</v>
      </c>
      <c r="C45" s="13" t="s">
        <v>20</v>
      </c>
      <c r="D45" s="30">
        <v>42839</v>
      </c>
      <c r="E45" s="13">
        <v>1</v>
      </c>
      <c r="F45" s="13">
        <v>0</v>
      </c>
      <c r="G45" s="13">
        <v>1</v>
      </c>
      <c r="H45" s="13">
        <v>1</v>
      </c>
      <c r="I45" s="13">
        <v>0</v>
      </c>
      <c r="J45" s="13">
        <v>0</v>
      </c>
      <c r="K45" s="56">
        <v>42877</v>
      </c>
      <c r="L45" s="32">
        <v>393</v>
      </c>
      <c r="M45" s="145">
        <f t="shared" si="0"/>
        <v>38</v>
      </c>
      <c r="N45" s="145">
        <f t="shared" si="1"/>
        <v>2</v>
      </c>
      <c r="O45" s="4"/>
      <c r="P45" s="4"/>
      <c r="Q45" s="4"/>
      <c r="R45" s="4"/>
      <c r="S45" s="4"/>
      <c r="T45" s="4"/>
      <c r="U45" s="4"/>
      <c r="V45" s="4"/>
    </row>
    <row r="46" spans="2:22" x14ac:dyDescent="0.35">
      <c r="B46" s="10" t="s">
        <v>700</v>
      </c>
      <c r="C46" s="13" t="s">
        <v>31</v>
      </c>
      <c r="D46" s="30">
        <v>42904</v>
      </c>
      <c r="E46" s="13">
        <v>1</v>
      </c>
      <c r="F46" s="13">
        <v>0</v>
      </c>
      <c r="G46" s="13">
        <v>1</v>
      </c>
      <c r="H46" s="13">
        <v>1</v>
      </c>
      <c r="I46" s="13">
        <v>0</v>
      </c>
      <c r="J46" s="13">
        <v>0</v>
      </c>
      <c r="K46" s="56">
        <v>42938</v>
      </c>
      <c r="L46" s="32">
        <v>393</v>
      </c>
      <c r="M46" s="145">
        <f t="shared" si="0"/>
        <v>34</v>
      </c>
      <c r="N46" s="145">
        <f t="shared" si="1"/>
        <v>2</v>
      </c>
      <c r="O46" s="4"/>
      <c r="P46" s="4"/>
      <c r="Q46" s="4"/>
      <c r="R46" s="4"/>
      <c r="S46" s="4"/>
      <c r="T46" s="4"/>
      <c r="U46" s="4"/>
      <c r="V46" s="4"/>
    </row>
    <row r="47" spans="2:22" x14ac:dyDescent="0.35">
      <c r="B47" s="10" t="s">
        <v>332</v>
      </c>
      <c r="C47" s="13" t="s">
        <v>20</v>
      </c>
      <c r="D47" s="30">
        <v>42890</v>
      </c>
      <c r="E47" s="13">
        <v>1</v>
      </c>
      <c r="F47" s="13">
        <v>1</v>
      </c>
      <c r="G47" s="13">
        <v>0</v>
      </c>
      <c r="H47" s="13">
        <v>0</v>
      </c>
      <c r="I47" s="13">
        <v>0</v>
      </c>
      <c r="J47" s="13">
        <v>0</v>
      </c>
      <c r="K47" s="56">
        <v>42912</v>
      </c>
      <c r="L47" s="32">
        <v>393</v>
      </c>
      <c r="M47" s="145">
        <f t="shared" si="0"/>
        <v>22</v>
      </c>
      <c r="N47" s="145">
        <f t="shared" si="1"/>
        <v>1</v>
      </c>
      <c r="O47" s="4"/>
      <c r="P47" s="4"/>
      <c r="Q47" s="4"/>
      <c r="R47" s="4"/>
      <c r="S47" s="4"/>
      <c r="T47" s="4"/>
      <c r="U47" s="4"/>
      <c r="V47" s="4"/>
    </row>
    <row r="48" spans="2:22" x14ac:dyDescent="0.35">
      <c r="B48" s="10" t="s">
        <v>598</v>
      </c>
      <c r="C48" s="13" t="s">
        <v>31</v>
      </c>
      <c r="D48" s="30">
        <v>42856</v>
      </c>
      <c r="E48" s="13">
        <v>1</v>
      </c>
      <c r="F48" s="13">
        <v>0</v>
      </c>
      <c r="G48" s="13">
        <v>1</v>
      </c>
      <c r="H48" s="13">
        <v>1</v>
      </c>
      <c r="I48" s="13">
        <v>0</v>
      </c>
      <c r="J48" s="13">
        <v>0</v>
      </c>
      <c r="K48" s="56">
        <v>42910</v>
      </c>
      <c r="L48" s="32">
        <v>392</v>
      </c>
      <c r="M48" s="145">
        <f t="shared" si="0"/>
        <v>54</v>
      </c>
      <c r="N48" s="145">
        <f t="shared" si="1"/>
        <v>2</v>
      </c>
      <c r="O48" s="4"/>
      <c r="P48" s="4"/>
      <c r="Q48" s="4"/>
      <c r="R48" s="4"/>
      <c r="S48" s="4"/>
      <c r="T48" s="4"/>
      <c r="U48" s="4"/>
      <c r="V48" s="4"/>
    </row>
    <row r="49" spans="2:22" x14ac:dyDescent="0.35">
      <c r="B49" s="10" t="s">
        <v>557</v>
      </c>
      <c r="C49" s="13" t="s">
        <v>20</v>
      </c>
      <c r="D49" s="30">
        <v>42885</v>
      </c>
      <c r="E49" s="13">
        <v>1</v>
      </c>
      <c r="F49" s="13">
        <v>1</v>
      </c>
      <c r="G49" s="13">
        <v>0</v>
      </c>
      <c r="H49" s="13">
        <v>0</v>
      </c>
      <c r="I49" s="13">
        <v>0</v>
      </c>
      <c r="J49" s="13">
        <v>0</v>
      </c>
      <c r="K49" s="56">
        <v>42898</v>
      </c>
      <c r="L49" s="32">
        <v>392</v>
      </c>
      <c r="M49" s="145">
        <f t="shared" si="0"/>
        <v>13</v>
      </c>
      <c r="N49" s="145">
        <f t="shared" si="1"/>
        <v>1</v>
      </c>
      <c r="O49" s="4"/>
      <c r="P49" s="4"/>
      <c r="Q49" s="4"/>
      <c r="R49" s="4"/>
      <c r="S49" s="4"/>
      <c r="T49" s="4"/>
      <c r="U49" s="4"/>
      <c r="V49" s="4"/>
    </row>
    <row r="50" spans="2:22" x14ac:dyDescent="0.35">
      <c r="B50" s="10" t="s">
        <v>604</v>
      </c>
      <c r="C50" s="13" t="s">
        <v>20</v>
      </c>
      <c r="D50" s="30">
        <v>42880</v>
      </c>
      <c r="E50" s="13">
        <v>1</v>
      </c>
      <c r="F50" s="13">
        <v>1</v>
      </c>
      <c r="G50" s="13">
        <v>0</v>
      </c>
      <c r="H50" s="13">
        <v>0</v>
      </c>
      <c r="I50" s="13">
        <v>0</v>
      </c>
      <c r="J50" s="13">
        <v>0</v>
      </c>
      <c r="K50" s="56">
        <v>42886</v>
      </c>
      <c r="L50" s="32">
        <v>390</v>
      </c>
      <c r="M50" s="145">
        <f t="shared" si="0"/>
        <v>6</v>
      </c>
      <c r="N50" s="145">
        <f t="shared" si="1"/>
        <v>1</v>
      </c>
      <c r="O50" s="4"/>
      <c r="P50" s="4"/>
      <c r="Q50" s="4"/>
      <c r="R50" s="4"/>
      <c r="S50" s="4"/>
      <c r="T50" s="4"/>
      <c r="U50" s="4"/>
      <c r="V50" s="4"/>
    </row>
    <row r="51" spans="2:22" x14ac:dyDescent="0.35">
      <c r="B51" s="10" t="s">
        <v>348</v>
      </c>
      <c r="C51" s="13" t="s">
        <v>20</v>
      </c>
      <c r="D51" s="30">
        <v>42890</v>
      </c>
      <c r="E51" s="13">
        <v>1</v>
      </c>
      <c r="F51" s="13">
        <v>0</v>
      </c>
      <c r="G51" s="13">
        <v>1</v>
      </c>
      <c r="H51" s="13">
        <v>1</v>
      </c>
      <c r="I51" s="13">
        <v>0</v>
      </c>
      <c r="J51" s="13">
        <v>0</v>
      </c>
      <c r="K51" s="56">
        <v>42934</v>
      </c>
      <c r="L51" s="32">
        <v>390</v>
      </c>
      <c r="M51" s="145">
        <f t="shared" si="0"/>
        <v>44</v>
      </c>
      <c r="N51" s="145">
        <f t="shared" si="1"/>
        <v>2</v>
      </c>
      <c r="O51" s="4"/>
      <c r="P51" s="4"/>
      <c r="Q51" s="4"/>
      <c r="R51" s="4"/>
      <c r="S51" s="4"/>
      <c r="T51" s="4"/>
      <c r="U51" s="4"/>
      <c r="V51" s="4"/>
    </row>
    <row r="52" spans="2:22" x14ac:dyDescent="0.35">
      <c r="B52" s="10" t="s">
        <v>367</v>
      </c>
      <c r="C52" s="13" t="s">
        <v>20</v>
      </c>
      <c r="D52" s="30">
        <v>42879</v>
      </c>
      <c r="E52" s="13">
        <v>1</v>
      </c>
      <c r="F52" s="13">
        <v>1</v>
      </c>
      <c r="G52" s="13">
        <v>0</v>
      </c>
      <c r="H52" s="13">
        <v>0</v>
      </c>
      <c r="I52" s="13">
        <v>0</v>
      </c>
      <c r="J52" s="13">
        <v>0</v>
      </c>
      <c r="K52" s="56">
        <v>42902</v>
      </c>
      <c r="L52" s="32">
        <v>389</v>
      </c>
      <c r="M52" s="145">
        <f t="shared" si="0"/>
        <v>23</v>
      </c>
      <c r="N52" s="145">
        <f t="shared" si="1"/>
        <v>1</v>
      </c>
      <c r="O52" s="4"/>
      <c r="P52" s="4"/>
      <c r="Q52" s="4"/>
      <c r="R52" s="4"/>
      <c r="S52" s="4"/>
      <c r="T52" s="4"/>
      <c r="U52" s="4"/>
      <c r="V52" s="4"/>
    </row>
    <row r="53" spans="2:22" x14ac:dyDescent="0.35">
      <c r="B53" s="10" t="s">
        <v>102</v>
      </c>
      <c r="C53" s="13" t="s">
        <v>31</v>
      </c>
      <c r="D53" s="30">
        <v>42915</v>
      </c>
      <c r="E53" s="13">
        <v>1</v>
      </c>
      <c r="F53" s="13">
        <v>1</v>
      </c>
      <c r="G53" s="13">
        <v>0</v>
      </c>
      <c r="H53" s="13">
        <v>0</v>
      </c>
      <c r="I53" s="13">
        <v>0</v>
      </c>
      <c r="J53" s="13">
        <v>0</v>
      </c>
      <c r="K53" s="56">
        <v>42940</v>
      </c>
      <c r="L53" s="32">
        <v>389</v>
      </c>
      <c r="M53" s="145">
        <f t="shared" si="0"/>
        <v>25</v>
      </c>
      <c r="N53" s="145">
        <f t="shared" si="1"/>
        <v>1</v>
      </c>
      <c r="O53" s="4"/>
      <c r="P53" s="4"/>
      <c r="Q53" s="4"/>
      <c r="R53" s="4"/>
      <c r="S53" s="4"/>
      <c r="T53" s="4"/>
      <c r="U53" s="4"/>
      <c r="V53" s="4"/>
    </row>
    <row r="54" spans="2:22" x14ac:dyDescent="0.35">
      <c r="B54" s="10" t="s">
        <v>169</v>
      </c>
      <c r="C54" s="13" t="s">
        <v>20</v>
      </c>
      <c r="D54" s="30">
        <v>42897</v>
      </c>
      <c r="E54" s="13">
        <v>1</v>
      </c>
      <c r="F54" s="13">
        <v>0</v>
      </c>
      <c r="G54" s="13">
        <v>1</v>
      </c>
      <c r="H54" s="13">
        <v>1</v>
      </c>
      <c r="I54" s="13">
        <v>0</v>
      </c>
      <c r="J54" s="13">
        <v>0</v>
      </c>
      <c r="K54" s="56">
        <v>42948</v>
      </c>
      <c r="L54" s="32">
        <v>388</v>
      </c>
      <c r="M54" s="145">
        <f t="shared" si="0"/>
        <v>51</v>
      </c>
      <c r="N54" s="145">
        <f t="shared" si="1"/>
        <v>2</v>
      </c>
      <c r="O54" s="4"/>
      <c r="P54" s="4"/>
      <c r="Q54" s="4"/>
      <c r="R54" s="4"/>
      <c r="S54" s="4"/>
      <c r="T54" s="4"/>
      <c r="U54" s="4"/>
      <c r="V54" s="4"/>
    </row>
    <row r="55" spans="2:22" x14ac:dyDescent="0.35">
      <c r="B55" s="10" t="s">
        <v>369</v>
      </c>
      <c r="C55" s="13" t="s">
        <v>20</v>
      </c>
      <c r="D55" s="30">
        <v>42855</v>
      </c>
      <c r="E55" s="13">
        <v>1</v>
      </c>
      <c r="F55" s="13">
        <v>0</v>
      </c>
      <c r="G55" s="13">
        <v>1</v>
      </c>
      <c r="H55" s="13">
        <v>1</v>
      </c>
      <c r="I55" s="13">
        <v>0</v>
      </c>
      <c r="J55" s="13">
        <v>0</v>
      </c>
      <c r="K55" s="56">
        <v>42896</v>
      </c>
      <c r="L55" s="32">
        <v>388</v>
      </c>
      <c r="M55" s="145">
        <f t="shared" si="0"/>
        <v>41</v>
      </c>
      <c r="N55" s="145">
        <f t="shared" si="1"/>
        <v>2</v>
      </c>
      <c r="O55" s="4"/>
      <c r="P55" s="4"/>
      <c r="Q55" s="4"/>
      <c r="R55" s="4"/>
      <c r="S55" s="4"/>
      <c r="T55" s="4"/>
      <c r="U55" s="4"/>
      <c r="V55" s="4"/>
    </row>
    <row r="56" spans="2:22" x14ac:dyDescent="0.35">
      <c r="B56" s="10" t="s">
        <v>595</v>
      </c>
      <c r="C56" s="13" t="s">
        <v>20</v>
      </c>
      <c r="D56" s="30">
        <v>42906</v>
      </c>
      <c r="E56" s="13">
        <v>1</v>
      </c>
      <c r="F56" s="13">
        <v>0</v>
      </c>
      <c r="G56" s="13">
        <v>1</v>
      </c>
      <c r="H56" s="13">
        <v>1</v>
      </c>
      <c r="I56" s="13">
        <v>0</v>
      </c>
      <c r="J56" s="13">
        <v>0</v>
      </c>
      <c r="K56" s="56">
        <v>42950</v>
      </c>
      <c r="L56" s="32">
        <v>388</v>
      </c>
      <c r="M56" s="145">
        <f t="shared" si="0"/>
        <v>44</v>
      </c>
      <c r="N56" s="145">
        <f t="shared" si="1"/>
        <v>2</v>
      </c>
      <c r="O56" s="4"/>
      <c r="P56" s="4"/>
      <c r="Q56" s="4"/>
      <c r="R56" s="4"/>
      <c r="S56" s="4"/>
      <c r="T56" s="4"/>
      <c r="U56" s="4"/>
      <c r="V56" s="4"/>
    </row>
    <row r="57" spans="2:22" x14ac:dyDescent="0.35">
      <c r="B57" s="10" t="s">
        <v>597</v>
      </c>
      <c r="C57" s="13" t="s">
        <v>31</v>
      </c>
      <c r="D57" s="30">
        <v>42868</v>
      </c>
      <c r="E57" s="13">
        <v>1</v>
      </c>
      <c r="F57" s="13">
        <v>1</v>
      </c>
      <c r="G57" s="13">
        <v>0</v>
      </c>
      <c r="H57" s="13">
        <v>0</v>
      </c>
      <c r="I57" s="13">
        <v>0</v>
      </c>
      <c r="J57" s="13">
        <v>0</v>
      </c>
      <c r="K57" s="56">
        <v>42875</v>
      </c>
      <c r="L57" s="32">
        <v>387</v>
      </c>
      <c r="M57" s="145">
        <f t="shared" si="0"/>
        <v>7</v>
      </c>
      <c r="N57" s="145">
        <f t="shared" si="1"/>
        <v>1</v>
      </c>
      <c r="O57" s="4"/>
      <c r="P57" s="4"/>
      <c r="Q57" s="4"/>
      <c r="R57" s="4"/>
      <c r="S57" s="4"/>
      <c r="T57" s="4"/>
      <c r="U57" s="4"/>
      <c r="V57" s="4"/>
    </row>
    <row r="58" spans="2:22" x14ac:dyDescent="0.35">
      <c r="B58" s="10" t="s">
        <v>620</v>
      </c>
      <c r="C58" s="13" t="s">
        <v>31</v>
      </c>
      <c r="D58" s="30">
        <v>42915</v>
      </c>
      <c r="E58" s="13">
        <v>1</v>
      </c>
      <c r="F58" s="13">
        <v>1</v>
      </c>
      <c r="G58" s="13">
        <v>0</v>
      </c>
      <c r="H58" s="13">
        <v>0</v>
      </c>
      <c r="I58" s="13">
        <v>0</v>
      </c>
      <c r="J58" s="13">
        <v>0</v>
      </c>
      <c r="K58" s="56">
        <v>42923</v>
      </c>
      <c r="L58" s="32">
        <v>387</v>
      </c>
      <c r="M58" s="145">
        <f t="shared" si="0"/>
        <v>8</v>
      </c>
      <c r="N58" s="145">
        <f t="shared" si="1"/>
        <v>1</v>
      </c>
    </row>
    <row r="59" spans="2:22" x14ac:dyDescent="0.35">
      <c r="B59" s="10" t="s">
        <v>107</v>
      </c>
      <c r="C59" s="13" t="s">
        <v>20</v>
      </c>
      <c r="D59" s="30">
        <v>42887</v>
      </c>
      <c r="E59" s="13">
        <v>1</v>
      </c>
      <c r="F59" s="13">
        <v>1</v>
      </c>
      <c r="G59" s="13">
        <v>0</v>
      </c>
      <c r="H59" s="13">
        <v>0</v>
      </c>
      <c r="I59" s="13">
        <v>0</v>
      </c>
      <c r="J59" s="13">
        <v>0</v>
      </c>
      <c r="K59" s="56">
        <v>42901</v>
      </c>
      <c r="L59" s="32">
        <v>386</v>
      </c>
      <c r="M59" s="145">
        <f t="shared" si="0"/>
        <v>14</v>
      </c>
      <c r="N59" s="145">
        <f t="shared" si="1"/>
        <v>1</v>
      </c>
    </row>
    <row r="60" spans="2:22" x14ac:dyDescent="0.35">
      <c r="B60" s="10" t="s">
        <v>395</v>
      </c>
      <c r="C60" s="13" t="s">
        <v>20</v>
      </c>
      <c r="D60" s="30">
        <v>42854</v>
      </c>
      <c r="E60" s="13">
        <v>1</v>
      </c>
      <c r="F60" s="13">
        <v>1</v>
      </c>
      <c r="G60" s="13">
        <v>0</v>
      </c>
      <c r="H60" s="13">
        <v>0</v>
      </c>
      <c r="I60" s="13">
        <v>0</v>
      </c>
      <c r="J60" s="13">
        <v>0</v>
      </c>
      <c r="K60" s="56">
        <v>42863</v>
      </c>
      <c r="L60" s="32">
        <v>385</v>
      </c>
      <c r="M60" s="145">
        <f t="shared" si="0"/>
        <v>9</v>
      </c>
      <c r="N60" s="145">
        <f t="shared" si="1"/>
        <v>1</v>
      </c>
    </row>
    <row r="61" spans="2:22" x14ac:dyDescent="0.35">
      <c r="B61" s="10" t="s">
        <v>278</v>
      </c>
      <c r="C61" s="13" t="s">
        <v>20</v>
      </c>
      <c r="D61" s="30">
        <v>42865</v>
      </c>
      <c r="E61" s="13">
        <v>1</v>
      </c>
      <c r="F61" s="13">
        <v>0</v>
      </c>
      <c r="G61" s="13">
        <v>1</v>
      </c>
      <c r="H61" s="13">
        <v>1</v>
      </c>
      <c r="I61" s="13">
        <v>0</v>
      </c>
      <c r="J61" s="13">
        <v>0</v>
      </c>
      <c r="K61" s="56">
        <v>42918</v>
      </c>
      <c r="L61" s="32">
        <v>385</v>
      </c>
      <c r="M61" s="145">
        <f t="shared" si="0"/>
        <v>53</v>
      </c>
      <c r="N61" s="145">
        <f t="shared" si="1"/>
        <v>2</v>
      </c>
    </row>
    <row r="62" spans="2:22" x14ac:dyDescent="0.35">
      <c r="B62" s="10" t="s">
        <v>185</v>
      </c>
      <c r="C62" s="13" t="s">
        <v>31</v>
      </c>
      <c r="D62" s="30">
        <v>42870</v>
      </c>
      <c r="E62" s="13">
        <v>1</v>
      </c>
      <c r="F62" s="13">
        <v>1</v>
      </c>
      <c r="G62" s="13">
        <v>0</v>
      </c>
      <c r="H62" s="13">
        <v>0</v>
      </c>
      <c r="I62" s="13">
        <v>0</v>
      </c>
      <c r="J62" s="13">
        <v>0</v>
      </c>
      <c r="K62" s="56">
        <v>42879</v>
      </c>
      <c r="L62" s="32">
        <v>383</v>
      </c>
      <c r="M62" s="145">
        <f t="shared" si="0"/>
        <v>9</v>
      </c>
      <c r="N62" s="145">
        <f t="shared" si="1"/>
        <v>1</v>
      </c>
    </row>
    <row r="63" spans="2:22" x14ac:dyDescent="0.35">
      <c r="B63" s="10" t="s">
        <v>964</v>
      </c>
      <c r="C63" s="13" t="s">
        <v>31</v>
      </c>
      <c r="D63" s="30">
        <v>42898</v>
      </c>
      <c r="E63" s="13">
        <v>1</v>
      </c>
      <c r="F63" s="13">
        <v>1</v>
      </c>
      <c r="G63" s="13">
        <v>0</v>
      </c>
      <c r="H63" s="13">
        <v>0</v>
      </c>
      <c r="I63" s="13">
        <v>0</v>
      </c>
      <c r="J63" s="13">
        <v>0</v>
      </c>
      <c r="K63" s="56">
        <v>42901</v>
      </c>
      <c r="L63" s="32">
        <v>383</v>
      </c>
      <c r="M63" s="145">
        <f t="shared" si="0"/>
        <v>3</v>
      </c>
      <c r="N63" s="145">
        <f t="shared" si="1"/>
        <v>1</v>
      </c>
    </row>
    <row r="64" spans="2:22" x14ac:dyDescent="0.35">
      <c r="B64" s="10" t="s">
        <v>434</v>
      </c>
      <c r="C64" s="13" t="s">
        <v>20</v>
      </c>
      <c r="D64" s="30">
        <v>42904</v>
      </c>
      <c r="E64" s="13">
        <v>1</v>
      </c>
      <c r="F64" s="13">
        <v>1</v>
      </c>
      <c r="G64" s="13">
        <v>0</v>
      </c>
      <c r="H64" s="13">
        <v>0</v>
      </c>
      <c r="I64" s="13">
        <v>0</v>
      </c>
      <c r="J64" s="13">
        <v>0</v>
      </c>
      <c r="K64" s="56">
        <v>42928</v>
      </c>
      <c r="L64" s="32">
        <v>383</v>
      </c>
      <c r="M64" s="145">
        <f t="shared" si="0"/>
        <v>24</v>
      </c>
      <c r="N64" s="145">
        <f t="shared" si="1"/>
        <v>1</v>
      </c>
    </row>
    <row r="65" spans="2:14" x14ac:dyDescent="0.35">
      <c r="B65" s="10" t="s">
        <v>669</v>
      </c>
      <c r="C65" s="13" t="s">
        <v>20</v>
      </c>
      <c r="D65" s="30">
        <v>42887</v>
      </c>
      <c r="E65" s="13">
        <v>1</v>
      </c>
      <c r="F65" s="13">
        <v>0</v>
      </c>
      <c r="G65" s="13">
        <v>1</v>
      </c>
      <c r="H65" s="13">
        <v>1</v>
      </c>
      <c r="I65" s="13">
        <v>0</v>
      </c>
      <c r="J65" s="13">
        <v>0</v>
      </c>
      <c r="K65" s="56">
        <v>42929</v>
      </c>
      <c r="L65" s="32">
        <v>383</v>
      </c>
      <c r="M65" s="145">
        <f t="shared" si="0"/>
        <v>42</v>
      </c>
      <c r="N65" s="145">
        <f t="shared" si="1"/>
        <v>2</v>
      </c>
    </row>
    <row r="66" spans="2:14" x14ac:dyDescent="0.35">
      <c r="B66" s="10" t="s">
        <v>453</v>
      </c>
      <c r="C66" s="13" t="s">
        <v>31</v>
      </c>
      <c r="D66" s="30">
        <v>42896</v>
      </c>
      <c r="E66" s="13">
        <v>1</v>
      </c>
      <c r="F66" s="13">
        <v>1</v>
      </c>
      <c r="G66" s="13">
        <v>0</v>
      </c>
      <c r="H66" s="13">
        <v>0</v>
      </c>
      <c r="I66" s="13">
        <v>0</v>
      </c>
      <c r="J66" s="13">
        <v>0</v>
      </c>
      <c r="K66" s="56">
        <v>42906</v>
      </c>
      <c r="L66" s="32">
        <v>383</v>
      </c>
      <c r="M66" s="145">
        <f t="shared" si="0"/>
        <v>10</v>
      </c>
      <c r="N66" s="145">
        <f t="shared" si="1"/>
        <v>1</v>
      </c>
    </row>
    <row r="67" spans="2:14" x14ac:dyDescent="0.35">
      <c r="B67" s="10" t="s">
        <v>965</v>
      </c>
      <c r="C67" s="13" t="s">
        <v>31</v>
      </c>
      <c r="D67" s="30">
        <v>42912</v>
      </c>
      <c r="E67" s="13">
        <v>1</v>
      </c>
      <c r="F67" s="13">
        <v>0</v>
      </c>
      <c r="G67" s="13">
        <v>1</v>
      </c>
      <c r="H67" s="13">
        <v>1</v>
      </c>
      <c r="I67" s="13">
        <v>0</v>
      </c>
      <c r="J67" s="13">
        <v>0</v>
      </c>
      <c r="K67" s="56">
        <v>42953</v>
      </c>
      <c r="L67" s="32">
        <v>383</v>
      </c>
      <c r="M67" s="145">
        <f t="shared" si="0"/>
        <v>41</v>
      </c>
      <c r="N67" s="145">
        <f t="shared" si="1"/>
        <v>2</v>
      </c>
    </row>
    <row r="68" spans="2:14" x14ac:dyDescent="0.35">
      <c r="B68" s="10" t="s">
        <v>344</v>
      </c>
      <c r="C68" s="13" t="s">
        <v>31</v>
      </c>
      <c r="D68" s="30">
        <v>42913</v>
      </c>
      <c r="E68" s="13">
        <v>1</v>
      </c>
      <c r="F68" s="13">
        <v>1</v>
      </c>
      <c r="G68" s="13">
        <v>0</v>
      </c>
      <c r="H68" s="13">
        <v>0</v>
      </c>
      <c r="I68" s="13">
        <v>0</v>
      </c>
      <c r="J68" s="13">
        <v>0</v>
      </c>
      <c r="K68" s="56">
        <v>42914</v>
      </c>
      <c r="L68" s="32">
        <v>382</v>
      </c>
      <c r="M68" s="145">
        <f t="shared" si="0"/>
        <v>1</v>
      </c>
      <c r="N68" s="145">
        <f t="shared" si="1"/>
        <v>1</v>
      </c>
    </row>
    <row r="69" spans="2:14" x14ac:dyDescent="0.35">
      <c r="B69" s="10" t="s">
        <v>84</v>
      </c>
      <c r="C69" s="13" t="s">
        <v>20</v>
      </c>
      <c r="D69" s="30">
        <v>42885</v>
      </c>
      <c r="E69" s="13">
        <v>1</v>
      </c>
      <c r="F69" s="13">
        <v>1</v>
      </c>
      <c r="G69" s="13">
        <v>0</v>
      </c>
      <c r="H69" s="13">
        <v>0</v>
      </c>
      <c r="I69" s="13">
        <v>0</v>
      </c>
      <c r="J69" s="13">
        <v>0</v>
      </c>
      <c r="K69" s="56">
        <v>42906</v>
      </c>
      <c r="L69" s="32">
        <v>382</v>
      </c>
      <c r="M69" s="145">
        <f t="shared" si="0"/>
        <v>21</v>
      </c>
      <c r="N69" s="145">
        <f t="shared" si="1"/>
        <v>1</v>
      </c>
    </row>
    <row r="70" spans="2:14" x14ac:dyDescent="0.35">
      <c r="B70" s="10" t="s">
        <v>213</v>
      </c>
      <c r="C70" s="13" t="s">
        <v>31</v>
      </c>
      <c r="D70" s="30">
        <v>42856</v>
      </c>
      <c r="E70" s="13">
        <v>1</v>
      </c>
      <c r="F70" s="13">
        <v>1</v>
      </c>
      <c r="G70" s="13">
        <v>0</v>
      </c>
      <c r="H70" s="13">
        <v>0</v>
      </c>
      <c r="I70" s="13">
        <v>0</v>
      </c>
      <c r="J70" s="13">
        <v>0</v>
      </c>
      <c r="K70" s="56">
        <v>42874</v>
      </c>
      <c r="L70" s="32">
        <v>380</v>
      </c>
      <c r="M70" s="145">
        <f t="shared" si="0"/>
        <v>18</v>
      </c>
      <c r="N70" s="145">
        <f t="shared" si="1"/>
        <v>1</v>
      </c>
    </row>
    <row r="71" spans="2:14" x14ac:dyDescent="0.35">
      <c r="B71" s="10" t="s">
        <v>753</v>
      </c>
      <c r="C71" s="13" t="s">
        <v>31</v>
      </c>
      <c r="D71" s="30">
        <v>42841</v>
      </c>
      <c r="E71" s="13">
        <v>1</v>
      </c>
      <c r="F71" s="13">
        <v>0</v>
      </c>
      <c r="G71" s="13">
        <v>1</v>
      </c>
      <c r="H71" s="13">
        <v>1</v>
      </c>
      <c r="I71" s="13">
        <v>0</v>
      </c>
      <c r="J71" s="13">
        <v>0</v>
      </c>
      <c r="K71" s="56">
        <v>42881</v>
      </c>
      <c r="L71" s="32">
        <v>380</v>
      </c>
      <c r="M71" s="145">
        <f t="shared" ref="M71:M134" si="2">IF(K71="", "", K71-D71)</f>
        <v>40</v>
      </c>
      <c r="N71" s="145">
        <f t="shared" ref="N71:N134" si="3">IF(F71=1,1, IF(H71=1,2, IF(J71=1,3, "")))</f>
        <v>2</v>
      </c>
    </row>
    <row r="72" spans="2:14" x14ac:dyDescent="0.35">
      <c r="B72" s="10" t="s">
        <v>966</v>
      </c>
      <c r="C72" s="13" t="s">
        <v>31</v>
      </c>
      <c r="D72" s="30">
        <v>42912</v>
      </c>
      <c r="E72" s="13">
        <v>1</v>
      </c>
      <c r="F72" s="13">
        <v>1</v>
      </c>
      <c r="G72" s="13">
        <v>0</v>
      </c>
      <c r="H72" s="13">
        <v>0</v>
      </c>
      <c r="I72" s="13">
        <v>0</v>
      </c>
      <c r="J72" s="13">
        <v>0</v>
      </c>
      <c r="K72" s="56">
        <v>42927</v>
      </c>
      <c r="L72" s="32">
        <v>379</v>
      </c>
      <c r="M72" s="145">
        <f t="shared" si="2"/>
        <v>15</v>
      </c>
      <c r="N72" s="145">
        <f t="shared" si="3"/>
        <v>1</v>
      </c>
    </row>
    <row r="73" spans="2:14" x14ac:dyDescent="0.35">
      <c r="B73" s="10" t="s">
        <v>444</v>
      </c>
      <c r="C73" s="13" t="s">
        <v>20</v>
      </c>
      <c r="D73" s="30">
        <v>42909</v>
      </c>
      <c r="E73" s="13">
        <v>1</v>
      </c>
      <c r="F73" s="13">
        <v>1</v>
      </c>
      <c r="G73" s="13">
        <v>0</v>
      </c>
      <c r="H73" s="13">
        <v>0</v>
      </c>
      <c r="I73" s="13">
        <v>0</v>
      </c>
      <c r="J73" s="13">
        <v>0</v>
      </c>
      <c r="K73" s="56">
        <v>42931</v>
      </c>
      <c r="L73" s="32">
        <v>378</v>
      </c>
      <c r="M73" s="145">
        <f t="shared" si="2"/>
        <v>22</v>
      </c>
      <c r="N73" s="145">
        <f t="shared" si="3"/>
        <v>1</v>
      </c>
    </row>
    <row r="74" spans="2:14" x14ac:dyDescent="0.35">
      <c r="B74" s="10" t="s">
        <v>661</v>
      </c>
      <c r="C74" s="13" t="s">
        <v>31</v>
      </c>
      <c r="D74" s="30">
        <v>42876</v>
      </c>
      <c r="E74" s="13">
        <v>1</v>
      </c>
      <c r="F74" s="13">
        <v>1</v>
      </c>
      <c r="G74" s="13">
        <v>0</v>
      </c>
      <c r="H74" s="13">
        <v>0</v>
      </c>
      <c r="I74" s="13">
        <v>0</v>
      </c>
      <c r="J74" s="13">
        <v>0</v>
      </c>
      <c r="K74" s="56">
        <v>42883</v>
      </c>
      <c r="L74" s="32">
        <v>377</v>
      </c>
      <c r="M74" s="145">
        <f t="shared" si="2"/>
        <v>7</v>
      </c>
      <c r="N74" s="145">
        <f t="shared" si="3"/>
        <v>1</v>
      </c>
    </row>
    <row r="75" spans="2:14" x14ac:dyDescent="0.35">
      <c r="B75" s="10" t="s">
        <v>315</v>
      </c>
      <c r="C75" s="13" t="s">
        <v>31</v>
      </c>
      <c r="D75" s="30">
        <v>42877</v>
      </c>
      <c r="E75" s="13">
        <v>1</v>
      </c>
      <c r="F75" s="13">
        <v>1</v>
      </c>
      <c r="G75" s="13">
        <v>0</v>
      </c>
      <c r="H75" s="13">
        <v>0</v>
      </c>
      <c r="I75" s="13">
        <v>0</v>
      </c>
      <c r="J75" s="13">
        <v>0</v>
      </c>
      <c r="K75" s="56">
        <v>42902</v>
      </c>
      <c r="L75" s="32">
        <v>377</v>
      </c>
      <c r="M75" s="145">
        <f t="shared" si="2"/>
        <v>25</v>
      </c>
      <c r="N75" s="145">
        <f t="shared" si="3"/>
        <v>1</v>
      </c>
    </row>
    <row r="76" spans="2:14" x14ac:dyDescent="0.35">
      <c r="B76" s="10" t="s">
        <v>281</v>
      </c>
      <c r="C76" s="13" t="s">
        <v>31</v>
      </c>
      <c r="D76" s="30">
        <v>42912</v>
      </c>
      <c r="E76" s="13">
        <v>1</v>
      </c>
      <c r="F76" s="13">
        <v>1</v>
      </c>
      <c r="G76" s="13">
        <v>0</v>
      </c>
      <c r="H76" s="13">
        <v>0</v>
      </c>
      <c r="I76" s="13">
        <v>0</v>
      </c>
      <c r="J76" s="13">
        <v>0</v>
      </c>
      <c r="K76" s="56">
        <v>42933</v>
      </c>
      <c r="L76" s="32">
        <v>376</v>
      </c>
      <c r="M76" s="145">
        <f t="shared" si="2"/>
        <v>21</v>
      </c>
      <c r="N76" s="145">
        <f t="shared" si="3"/>
        <v>1</v>
      </c>
    </row>
    <row r="77" spans="2:14" x14ac:dyDescent="0.35">
      <c r="B77" s="10" t="s">
        <v>285</v>
      </c>
      <c r="C77" s="13" t="s">
        <v>31</v>
      </c>
      <c r="D77" s="30">
        <v>42864</v>
      </c>
      <c r="E77" s="13">
        <v>1</v>
      </c>
      <c r="F77" s="13">
        <v>1</v>
      </c>
      <c r="G77" s="13">
        <v>0</v>
      </c>
      <c r="H77" s="13">
        <v>0</v>
      </c>
      <c r="I77" s="13">
        <v>0</v>
      </c>
      <c r="J77" s="13">
        <v>0</v>
      </c>
      <c r="K77" s="56">
        <v>42885</v>
      </c>
      <c r="L77" s="32">
        <v>376</v>
      </c>
      <c r="M77" s="145">
        <f t="shared" si="2"/>
        <v>21</v>
      </c>
      <c r="N77" s="145">
        <f t="shared" si="3"/>
        <v>1</v>
      </c>
    </row>
    <row r="78" spans="2:14" x14ac:dyDescent="0.35">
      <c r="B78" s="10" t="s">
        <v>350</v>
      </c>
      <c r="C78" s="13" t="s">
        <v>20</v>
      </c>
      <c r="D78" s="30">
        <v>42875</v>
      </c>
      <c r="E78" s="13">
        <v>1</v>
      </c>
      <c r="F78" s="13">
        <v>1</v>
      </c>
      <c r="G78" s="13">
        <v>0</v>
      </c>
      <c r="H78" s="13">
        <v>0</v>
      </c>
      <c r="I78" s="13">
        <v>0</v>
      </c>
      <c r="J78" s="13">
        <v>0</v>
      </c>
      <c r="K78" s="56">
        <v>42895</v>
      </c>
      <c r="L78" s="32">
        <v>375</v>
      </c>
      <c r="M78" s="145">
        <f t="shared" si="2"/>
        <v>20</v>
      </c>
      <c r="N78" s="145">
        <f t="shared" si="3"/>
        <v>1</v>
      </c>
    </row>
    <row r="79" spans="2:14" x14ac:dyDescent="0.35">
      <c r="B79" s="10" t="s">
        <v>79</v>
      </c>
      <c r="C79" s="13" t="s">
        <v>31</v>
      </c>
      <c r="D79" s="30">
        <v>42837</v>
      </c>
      <c r="E79" s="13">
        <v>1</v>
      </c>
      <c r="F79" s="13">
        <v>1</v>
      </c>
      <c r="G79" s="13">
        <v>0</v>
      </c>
      <c r="H79" s="13">
        <v>0</v>
      </c>
      <c r="I79" s="13">
        <v>0</v>
      </c>
      <c r="J79" s="13">
        <v>0</v>
      </c>
      <c r="K79" s="56">
        <v>42844</v>
      </c>
      <c r="L79" s="32">
        <v>374</v>
      </c>
      <c r="M79" s="145">
        <f t="shared" si="2"/>
        <v>7</v>
      </c>
      <c r="N79" s="145">
        <f t="shared" si="3"/>
        <v>1</v>
      </c>
    </row>
    <row r="80" spans="2:14" x14ac:dyDescent="0.35">
      <c r="B80" s="10" t="s">
        <v>321</v>
      </c>
      <c r="C80" s="13" t="s">
        <v>31</v>
      </c>
      <c r="D80" s="30">
        <v>42902</v>
      </c>
      <c r="E80" s="13">
        <v>1</v>
      </c>
      <c r="F80" s="13">
        <v>1</v>
      </c>
      <c r="G80" s="13">
        <v>0</v>
      </c>
      <c r="H80" s="13">
        <v>0</v>
      </c>
      <c r="I80" s="13">
        <v>0</v>
      </c>
      <c r="J80" s="13">
        <v>0</v>
      </c>
      <c r="K80" s="56">
        <v>42917</v>
      </c>
      <c r="L80" s="32">
        <v>373</v>
      </c>
      <c r="M80" s="145">
        <f t="shared" si="2"/>
        <v>15</v>
      </c>
      <c r="N80" s="145">
        <f t="shared" si="3"/>
        <v>1</v>
      </c>
    </row>
    <row r="81" spans="2:14" x14ac:dyDescent="0.35">
      <c r="B81" s="10" t="s">
        <v>619</v>
      </c>
      <c r="C81" s="13" t="s">
        <v>31</v>
      </c>
      <c r="D81" s="30">
        <v>42890</v>
      </c>
      <c r="E81" s="13">
        <v>1</v>
      </c>
      <c r="F81" s="13">
        <v>1</v>
      </c>
      <c r="G81" s="13">
        <v>0</v>
      </c>
      <c r="H81" s="13">
        <v>0</v>
      </c>
      <c r="I81" s="13">
        <v>0</v>
      </c>
      <c r="J81" s="13">
        <v>0</v>
      </c>
      <c r="K81" s="56">
        <v>42892</v>
      </c>
      <c r="L81" s="32">
        <v>373</v>
      </c>
      <c r="M81" s="145">
        <f t="shared" si="2"/>
        <v>2</v>
      </c>
      <c r="N81" s="145">
        <f t="shared" si="3"/>
        <v>1</v>
      </c>
    </row>
    <row r="82" spans="2:14" x14ac:dyDescent="0.35">
      <c r="B82" s="10" t="s">
        <v>190</v>
      </c>
      <c r="C82" s="13" t="s">
        <v>31</v>
      </c>
      <c r="D82" s="30">
        <v>42900</v>
      </c>
      <c r="E82" s="13">
        <v>1</v>
      </c>
      <c r="F82" s="13">
        <v>0</v>
      </c>
      <c r="G82" s="13">
        <v>1</v>
      </c>
      <c r="H82" s="13">
        <v>1</v>
      </c>
      <c r="I82" s="13">
        <v>0</v>
      </c>
      <c r="J82" s="13">
        <v>0</v>
      </c>
      <c r="K82" s="56">
        <v>42942</v>
      </c>
      <c r="L82" s="32">
        <v>373</v>
      </c>
      <c r="M82" s="145">
        <f t="shared" si="2"/>
        <v>42</v>
      </c>
      <c r="N82" s="145">
        <f t="shared" si="3"/>
        <v>2</v>
      </c>
    </row>
    <row r="83" spans="2:14" x14ac:dyDescent="0.35">
      <c r="B83" s="10" t="s">
        <v>417</v>
      </c>
      <c r="C83" s="13" t="s">
        <v>20</v>
      </c>
      <c r="D83" s="30">
        <v>42842</v>
      </c>
      <c r="E83" s="13">
        <v>1</v>
      </c>
      <c r="F83" s="13">
        <v>1</v>
      </c>
      <c r="G83" s="13">
        <v>0</v>
      </c>
      <c r="H83" s="13">
        <v>0</v>
      </c>
      <c r="I83" s="13">
        <v>0</v>
      </c>
      <c r="J83" s="13">
        <v>0</v>
      </c>
      <c r="K83" s="56">
        <v>42844</v>
      </c>
      <c r="L83" s="32">
        <v>373</v>
      </c>
      <c r="M83" s="145">
        <f t="shared" si="2"/>
        <v>2</v>
      </c>
      <c r="N83" s="145">
        <f t="shared" si="3"/>
        <v>1</v>
      </c>
    </row>
    <row r="84" spans="2:14" x14ac:dyDescent="0.35">
      <c r="B84" s="10" t="s">
        <v>656</v>
      </c>
      <c r="C84" s="13" t="s">
        <v>20</v>
      </c>
      <c r="D84" s="30">
        <v>42883</v>
      </c>
      <c r="E84" s="13">
        <v>1</v>
      </c>
      <c r="F84" s="13">
        <v>1</v>
      </c>
      <c r="G84" s="13">
        <v>0</v>
      </c>
      <c r="H84" s="13">
        <v>0</v>
      </c>
      <c r="I84" s="13">
        <v>0</v>
      </c>
      <c r="J84" s="13">
        <v>0</v>
      </c>
      <c r="K84" s="56">
        <v>42908</v>
      </c>
      <c r="L84" s="32">
        <v>373</v>
      </c>
      <c r="M84" s="145">
        <f t="shared" si="2"/>
        <v>25</v>
      </c>
      <c r="N84" s="145">
        <f t="shared" si="3"/>
        <v>1</v>
      </c>
    </row>
    <row r="85" spans="2:14" x14ac:dyDescent="0.35">
      <c r="B85" s="10" t="s">
        <v>520</v>
      </c>
      <c r="C85" s="13" t="s">
        <v>31</v>
      </c>
      <c r="D85" s="30">
        <v>42864</v>
      </c>
      <c r="E85" s="13">
        <v>1</v>
      </c>
      <c r="F85" s="13">
        <v>1</v>
      </c>
      <c r="G85" s="13">
        <v>0</v>
      </c>
      <c r="H85" s="13">
        <v>0</v>
      </c>
      <c r="I85" s="13">
        <v>0</v>
      </c>
      <c r="J85" s="13">
        <v>0</v>
      </c>
      <c r="K85" s="56">
        <v>42877</v>
      </c>
      <c r="L85" s="32">
        <v>372</v>
      </c>
      <c r="M85" s="145">
        <f t="shared" si="2"/>
        <v>13</v>
      </c>
      <c r="N85" s="145">
        <f t="shared" si="3"/>
        <v>1</v>
      </c>
    </row>
    <row r="86" spans="2:14" x14ac:dyDescent="0.35">
      <c r="B86" s="10" t="s">
        <v>602</v>
      </c>
      <c r="C86" s="13" t="s">
        <v>20</v>
      </c>
      <c r="D86" s="30">
        <v>42856</v>
      </c>
      <c r="E86" s="13">
        <v>1</v>
      </c>
      <c r="F86" s="13">
        <v>1</v>
      </c>
      <c r="G86" s="13">
        <v>0</v>
      </c>
      <c r="H86" s="13">
        <v>0</v>
      </c>
      <c r="I86" s="13">
        <v>0</v>
      </c>
      <c r="J86" s="13">
        <v>0</v>
      </c>
      <c r="K86" s="56">
        <v>42857</v>
      </c>
      <c r="L86" s="32">
        <v>370</v>
      </c>
      <c r="M86" s="145">
        <f t="shared" si="2"/>
        <v>1</v>
      </c>
      <c r="N86" s="145">
        <f t="shared" si="3"/>
        <v>1</v>
      </c>
    </row>
    <row r="87" spans="2:14" x14ac:dyDescent="0.35">
      <c r="B87" s="10" t="s">
        <v>482</v>
      </c>
      <c r="C87" s="13" t="s">
        <v>20</v>
      </c>
      <c r="D87" s="30">
        <v>42873</v>
      </c>
      <c r="E87" s="13">
        <v>1</v>
      </c>
      <c r="F87" s="13">
        <v>0</v>
      </c>
      <c r="G87" s="13">
        <v>1</v>
      </c>
      <c r="H87" s="13">
        <v>1</v>
      </c>
      <c r="I87" s="13">
        <v>0</v>
      </c>
      <c r="J87" s="13">
        <v>0</v>
      </c>
      <c r="K87" s="56">
        <v>42919</v>
      </c>
      <c r="L87" s="32">
        <v>370</v>
      </c>
      <c r="M87" s="145">
        <f t="shared" si="2"/>
        <v>46</v>
      </c>
      <c r="N87" s="145">
        <f t="shared" si="3"/>
        <v>2</v>
      </c>
    </row>
    <row r="88" spans="2:14" x14ac:dyDescent="0.35">
      <c r="B88" s="10" t="s">
        <v>706</v>
      </c>
      <c r="C88" s="13" t="s">
        <v>31</v>
      </c>
      <c r="D88" s="30">
        <v>42873</v>
      </c>
      <c r="E88" s="13">
        <v>1</v>
      </c>
      <c r="F88" s="13">
        <v>0</v>
      </c>
      <c r="G88" s="13">
        <v>1</v>
      </c>
      <c r="H88" s="13">
        <v>1</v>
      </c>
      <c r="I88" s="13">
        <v>0</v>
      </c>
      <c r="J88" s="13">
        <v>0</v>
      </c>
      <c r="K88" s="56">
        <v>42924</v>
      </c>
      <c r="L88" s="32">
        <v>370</v>
      </c>
      <c r="M88" s="145">
        <f t="shared" si="2"/>
        <v>51</v>
      </c>
      <c r="N88" s="145">
        <f t="shared" si="3"/>
        <v>2</v>
      </c>
    </row>
    <row r="89" spans="2:14" x14ac:dyDescent="0.35">
      <c r="B89" s="10" t="s">
        <v>131</v>
      </c>
      <c r="C89" s="13" t="s">
        <v>31</v>
      </c>
      <c r="D89" s="30">
        <v>42870</v>
      </c>
      <c r="E89" s="13">
        <v>1</v>
      </c>
      <c r="F89" s="13">
        <v>1</v>
      </c>
      <c r="G89" s="13">
        <v>0</v>
      </c>
      <c r="H89" s="13">
        <v>0</v>
      </c>
      <c r="I89" s="13">
        <v>0</v>
      </c>
      <c r="J89" s="13">
        <v>0</v>
      </c>
      <c r="K89" s="56">
        <v>42889</v>
      </c>
      <c r="L89" s="32">
        <v>369</v>
      </c>
      <c r="M89" s="145">
        <f t="shared" si="2"/>
        <v>19</v>
      </c>
      <c r="N89" s="145">
        <f t="shared" si="3"/>
        <v>1</v>
      </c>
    </row>
    <row r="90" spans="2:14" x14ac:dyDescent="0.35">
      <c r="B90" s="10" t="s">
        <v>363</v>
      </c>
      <c r="C90" s="13" t="s">
        <v>31</v>
      </c>
      <c r="D90" s="30">
        <v>42827</v>
      </c>
      <c r="E90" s="13">
        <v>1</v>
      </c>
      <c r="F90" s="13">
        <v>0</v>
      </c>
      <c r="G90" s="13">
        <v>1</v>
      </c>
      <c r="H90" s="13">
        <v>1</v>
      </c>
      <c r="I90" s="13">
        <v>0</v>
      </c>
      <c r="J90" s="13">
        <v>0</v>
      </c>
      <c r="K90" s="56">
        <v>42876</v>
      </c>
      <c r="L90" s="32">
        <v>369</v>
      </c>
      <c r="M90" s="145">
        <f t="shared" si="2"/>
        <v>49</v>
      </c>
      <c r="N90" s="145">
        <f t="shared" si="3"/>
        <v>2</v>
      </c>
    </row>
    <row r="91" spans="2:14" x14ac:dyDescent="0.35">
      <c r="B91" s="10" t="s">
        <v>746</v>
      </c>
      <c r="C91" s="13" t="s">
        <v>20</v>
      </c>
      <c r="D91" s="30">
        <v>42903</v>
      </c>
      <c r="E91" s="13">
        <v>1</v>
      </c>
      <c r="F91" s="13">
        <v>0</v>
      </c>
      <c r="G91" s="13">
        <v>1</v>
      </c>
      <c r="H91" s="13">
        <v>0</v>
      </c>
      <c r="I91" s="13">
        <v>1</v>
      </c>
      <c r="J91" s="13">
        <v>1</v>
      </c>
      <c r="K91" s="56">
        <v>42964</v>
      </c>
      <c r="L91" s="32">
        <v>368</v>
      </c>
      <c r="M91" s="145">
        <f t="shared" si="2"/>
        <v>61</v>
      </c>
      <c r="N91" s="145">
        <f t="shared" si="3"/>
        <v>3</v>
      </c>
    </row>
    <row r="92" spans="2:14" x14ac:dyDescent="0.35">
      <c r="B92" s="10" t="s">
        <v>536</v>
      </c>
      <c r="C92" s="13" t="s">
        <v>31</v>
      </c>
      <c r="D92" s="30">
        <v>42893</v>
      </c>
      <c r="E92" s="13">
        <v>1</v>
      </c>
      <c r="F92" s="13">
        <v>1</v>
      </c>
      <c r="G92" s="13">
        <v>0</v>
      </c>
      <c r="H92" s="13">
        <v>0</v>
      </c>
      <c r="I92" s="13">
        <v>0</v>
      </c>
      <c r="J92" s="13">
        <v>0</v>
      </c>
      <c r="K92" s="56">
        <v>42905</v>
      </c>
      <c r="L92" s="32">
        <v>367</v>
      </c>
      <c r="M92" s="145">
        <f t="shared" si="2"/>
        <v>12</v>
      </c>
      <c r="N92" s="145">
        <f t="shared" si="3"/>
        <v>1</v>
      </c>
    </row>
    <row r="93" spans="2:14" x14ac:dyDescent="0.35">
      <c r="B93" s="10" t="s">
        <v>967</v>
      </c>
      <c r="C93" s="13" t="s">
        <v>31</v>
      </c>
      <c r="D93" s="30">
        <v>42837</v>
      </c>
      <c r="E93" s="13">
        <v>1</v>
      </c>
      <c r="F93" s="13">
        <v>1</v>
      </c>
      <c r="G93" s="13">
        <v>0</v>
      </c>
      <c r="H93" s="13">
        <v>0</v>
      </c>
      <c r="I93" s="13">
        <v>0</v>
      </c>
      <c r="J93" s="13">
        <v>0</v>
      </c>
      <c r="K93" s="56">
        <v>42839</v>
      </c>
      <c r="L93" s="32">
        <v>365</v>
      </c>
      <c r="M93" s="145">
        <f t="shared" si="2"/>
        <v>2</v>
      </c>
      <c r="N93" s="145">
        <f t="shared" si="3"/>
        <v>1</v>
      </c>
    </row>
    <row r="94" spans="2:14" x14ac:dyDescent="0.35">
      <c r="B94" s="10" t="s">
        <v>192</v>
      </c>
      <c r="C94" s="13" t="s">
        <v>31</v>
      </c>
      <c r="D94" s="30">
        <v>42882</v>
      </c>
      <c r="E94" s="13">
        <v>1</v>
      </c>
      <c r="F94" s="13">
        <v>0</v>
      </c>
      <c r="G94" s="13">
        <v>1</v>
      </c>
      <c r="H94" s="13">
        <v>1</v>
      </c>
      <c r="I94" s="13">
        <v>0</v>
      </c>
      <c r="J94" s="13">
        <v>0</v>
      </c>
      <c r="K94" s="56">
        <v>42923</v>
      </c>
      <c r="L94" s="32">
        <v>363</v>
      </c>
      <c r="M94" s="145">
        <f t="shared" si="2"/>
        <v>41</v>
      </c>
      <c r="N94" s="145">
        <f t="shared" si="3"/>
        <v>2</v>
      </c>
    </row>
    <row r="95" spans="2:14" x14ac:dyDescent="0.35">
      <c r="B95" s="10" t="s">
        <v>555</v>
      </c>
      <c r="C95" s="13" t="s">
        <v>20</v>
      </c>
      <c r="D95" s="30">
        <v>42830</v>
      </c>
      <c r="E95" s="13">
        <v>1</v>
      </c>
      <c r="F95" s="13">
        <v>1</v>
      </c>
      <c r="G95" s="13">
        <v>0</v>
      </c>
      <c r="H95" s="13">
        <v>0</v>
      </c>
      <c r="I95" s="13">
        <v>0</v>
      </c>
      <c r="J95" s="13">
        <v>0</v>
      </c>
      <c r="K95" s="56">
        <v>42832</v>
      </c>
      <c r="L95" s="32">
        <v>363</v>
      </c>
      <c r="M95" s="145">
        <f t="shared" si="2"/>
        <v>2</v>
      </c>
      <c r="N95" s="145">
        <f t="shared" si="3"/>
        <v>1</v>
      </c>
    </row>
    <row r="96" spans="2:14" x14ac:dyDescent="0.35">
      <c r="B96" s="10" t="s">
        <v>376</v>
      </c>
      <c r="C96" s="13" t="s">
        <v>31</v>
      </c>
      <c r="D96" s="30">
        <v>42867</v>
      </c>
      <c r="E96" s="13">
        <v>1</v>
      </c>
      <c r="F96" s="13">
        <v>1</v>
      </c>
      <c r="G96" s="13">
        <v>0</v>
      </c>
      <c r="H96" s="13">
        <v>0</v>
      </c>
      <c r="I96" s="13">
        <v>0</v>
      </c>
      <c r="J96" s="13">
        <v>0</v>
      </c>
      <c r="K96" s="56">
        <v>42871</v>
      </c>
      <c r="L96" s="32">
        <v>363</v>
      </c>
      <c r="M96" s="145">
        <f t="shared" si="2"/>
        <v>4</v>
      </c>
      <c r="N96" s="145">
        <f t="shared" si="3"/>
        <v>1</v>
      </c>
    </row>
    <row r="97" spans="2:14" x14ac:dyDescent="0.35">
      <c r="B97" s="10" t="s">
        <v>150</v>
      </c>
      <c r="C97" s="13" t="s">
        <v>31</v>
      </c>
      <c r="D97" s="30">
        <v>42863</v>
      </c>
      <c r="E97" s="13">
        <v>1</v>
      </c>
      <c r="F97" s="13">
        <v>1</v>
      </c>
      <c r="G97" s="13">
        <v>0</v>
      </c>
      <c r="H97" s="13">
        <v>0</v>
      </c>
      <c r="I97" s="13">
        <v>0</v>
      </c>
      <c r="J97" s="13">
        <v>0</v>
      </c>
      <c r="K97" s="56">
        <v>42865</v>
      </c>
      <c r="L97" s="32">
        <v>363</v>
      </c>
      <c r="M97" s="145">
        <f t="shared" si="2"/>
        <v>2</v>
      </c>
      <c r="N97" s="145">
        <f t="shared" si="3"/>
        <v>1</v>
      </c>
    </row>
    <row r="98" spans="2:14" x14ac:dyDescent="0.35">
      <c r="B98" s="10" t="s">
        <v>109</v>
      </c>
      <c r="C98" s="13" t="s">
        <v>20</v>
      </c>
      <c r="D98" s="30">
        <v>42905</v>
      </c>
      <c r="E98" s="13">
        <v>1</v>
      </c>
      <c r="F98" s="13">
        <v>0</v>
      </c>
      <c r="G98" s="13">
        <v>1</v>
      </c>
      <c r="H98" s="13">
        <v>1</v>
      </c>
      <c r="I98" s="13">
        <v>0</v>
      </c>
      <c r="J98" s="13">
        <v>0</v>
      </c>
      <c r="K98" s="56">
        <v>42948</v>
      </c>
      <c r="L98" s="32">
        <v>363</v>
      </c>
      <c r="M98" s="145">
        <f t="shared" si="2"/>
        <v>43</v>
      </c>
      <c r="N98" s="145">
        <f t="shared" si="3"/>
        <v>2</v>
      </c>
    </row>
    <row r="99" spans="2:14" x14ac:dyDescent="0.35">
      <c r="B99" s="10" t="s">
        <v>473</v>
      </c>
      <c r="C99" s="13" t="s">
        <v>31</v>
      </c>
      <c r="D99" s="30">
        <v>42866</v>
      </c>
      <c r="E99" s="13">
        <v>1</v>
      </c>
      <c r="F99" s="13">
        <v>1</v>
      </c>
      <c r="G99" s="13">
        <v>0</v>
      </c>
      <c r="H99" s="13">
        <v>0</v>
      </c>
      <c r="I99" s="13">
        <v>0</v>
      </c>
      <c r="J99" s="13">
        <v>0</v>
      </c>
      <c r="K99" s="56">
        <v>42877</v>
      </c>
      <c r="L99" s="32">
        <v>360</v>
      </c>
      <c r="M99" s="145">
        <f t="shared" si="2"/>
        <v>11</v>
      </c>
      <c r="N99" s="145">
        <f t="shared" si="3"/>
        <v>1</v>
      </c>
    </row>
    <row r="100" spans="2:14" x14ac:dyDescent="0.35">
      <c r="B100" s="10" t="s">
        <v>231</v>
      </c>
      <c r="C100" s="13" t="s">
        <v>20</v>
      </c>
      <c r="D100" s="30">
        <v>42860</v>
      </c>
      <c r="E100" s="13">
        <v>1</v>
      </c>
      <c r="F100" s="13">
        <v>1</v>
      </c>
      <c r="G100" s="13">
        <v>0</v>
      </c>
      <c r="H100" s="13">
        <v>0</v>
      </c>
      <c r="I100" s="13">
        <v>0</v>
      </c>
      <c r="J100" s="13">
        <v>0</v>
      </c>
      <c r="K100" s="56">
        <v>42881</v>
      </c>
      <c r="L100" s="32">
        <v>359</v>
      </c>
      <c r="M100" s="145">
        <f t="shared" si="2"/>
        <v>21</v>
      </c>
      <c r="N100" s="145">
        <f t="shared" si="3"/>
        <v>1</v>
      </c>
    </row>
    <row r="101" spans="2:14" x14ac:dyDescent="0.35">
      <c r="B101" s="10" t="s">
        <v>533</v>
      </c>
      <c r="C101" s="13" t="s">
        <v>20</v>
      </c>
      <c r="D101" s="30">
        <v>42899</v>
      </c>
      <c r="E101" s="13">
        <v>1</v>
      </c>
      <c r="F101" s="13">
        <v>1</v>
      </c>
      <c r="G101" s="13">
        <v>0</v>
      </c>
      <c r="H101" s="13">
        <v>0</v>
      </c>
      <c r="I101" s="13">
        <v>0</v>
      </c>
      <c r="J101" s="13">
        <v>0</v>
      </c>
      <c r="K101" s="56">
        <v>42904</v>
      </c>
      <c r="L101" s="32">
        <v>359</v>
      </c>
      <c r="M101" s="145">
        <f t="shared" si="2"/>
        <v>5</v>
      </c>
      <c r="N101" s="145">
        <f t="shared" si="3"/>
        <v>1</v>
      </c>
    </row>
    <row r="102" spans="2:14" x14ac:dyDescent="0.35">
      <c r="B102" s="10" t="s">
        <v>672</v>
      </c>
      <c r="C102" s="13" t="s">
        <v>20</v>
      </c>
      <c r="D102" s="30">
        <v>42896</v>
      </c>
      <c r="E102" s="13">
        <v>1</v>
      </c>
      <c r="F102" s="13">
        <v>1</v>
      </c>
      <c r="G102" s="13">
        <v>0</v>
      </c>
      <c r="H102" s="13">
        <v>0</v>
      </c>
      <c r="I102" s="13">
        <v>0</v>
      </c>
      <c r="J102" s="13">
        <v>0</v>
      </c>
      <c r="K102" s="56">
        <v>42917</v>
      </c>
      <c r="L102" s="32">
        <v>359</v>
      </c>
      <c r="M102" s="145">
        <f t="shared" si="2"/>
        <v>21</v>
      </c>
      <c r="N102" s="145">
        <f t="shared" si="3"/>
        <v>1</v>
      </c>
    </row>
    <row r="103" spans="2:14" x14ac:dyDescent="0.35">
      <c r="B103" s="10" t="s">
        <v>733</v>
      </c>
      <c r="C103" s="13" t="s">
        <v>31</v>
      </c>
      <c r="D103" s="30">
        <v>42884</v>
      </c>
      <c r="E103" s="13">
        <v>1</v>
      </c>
      <c r="F103" s="13">
        <v>1</v>
      </c>
      <c r="G103" s="13">
        <v>0</v>
      </c>
      <c r="H103" s="13">
        <v>0</v>
      </c>
      <c r="I103" s="13">
        <v>0</v>
      </c>
      <c r="J103" s="13">
        <v>0</v>
      </c>
      <c r="K103" s="56">
        <v>42888</v>
      </c>
      <c r="L103" s="32">
        <v>359</v>
      </c>
      <c r="M103" s="145">
        <f t="shared" si="2"/>
        <v>4</v>
      </c>
      <c r="N103" s="145">
        <f t="shared" si="3"/>
        <v>1</v>
      </c>
    </row>
    <row r="104" spans="2:14" x14ac:dyDescent="0.35">
      <c r="B104" s="10" t="s">
        <v>540</v>
      </c>
      <c r="C104" s="13" t="s">
        <v>20</v>
      </c>
      <c r="D104" s="30">
        <v>42904</v>
      </c>
      <c r="E104" s="13">
        <v>1</v>
      </c>
      <c r="F104" s="13">
        <v>0</v>
      </c>
      <c r="G104" s="13">
        <v>1</v>
      </c>
      <c r="H104" s="13">
        <v>1</v>
      </c>
      <c r="I104" s="13">
        <v>0</v>
      </c>
      <c r="J104" s="13">
        <v>0</v>
      </c>
      <c r="K104" s="56">
        <v>42956</v>
      </c>
      <c r="L104" s="32">
        <v>359</v>
      </c>
      <c r="M104" s="145">
        <f t="shared" si="2"/>
        <v>52</v>
      </c>
      <c r="N104" s="145">
        <f t="shared" si="3"/>
        <v>2</v>
      </c>
    </row>
    <row r="105" spans="2:14" x14ac:dyDescent="0.35">
      <c r="B105" s="10" t="s">
        <v>145</v>
      </c>
      <c r="C105" s="13" t="s">
        <v>31</v>
      </c>
      <c r="D105" s="30">
        <v>42909</v>
      </c>
      <c r="E105" s="13">
        <v>1</v>
      </c>
      <c r="F105" s="13">
        <v>0</v>
      </c>
      <c r="G105" s="13">
        <v>1</v>
      </c>
      <c r="H105" s="13">
        <v>1</v>
      </c>
      <c r="I105" s="13">
        <v>0</v>
      </c>
      <c r="J105" s="13">
        <v>0</v>
      </c>
      <c r="K105" s="56">
        <v>42961</v>
      </c>
      <c r="L105" s="32">
        <v>359</v>
      </c>
      <c r="M105" s="145">
        <f t="shared" si="2"/>
        <v>52</v>
      </c>
      <c r="N105" s="145">
        <f t="shared" si="3"/>
        <v>2</v>
      </c>
    </row>
    <row r="106" spans="2:14" x14ac:dyDescent="0.35">
      <c r="B106" s="10" t="s">
        <v>484</v>
      </c>
      <c r="C106" s="13" t="s">
        <v>31</v>
      </c>
      <c r="D106" s="30">
        <v>42846</v>
      </c>
      <c r="E106" s="13">
        <v>1</v>
      </c>
      <c r="F106" s="13">
        <v>1</v>
      </c>
      <c r="G106" s="13">
        <v>0</v>
      </c>
      <c r="H106" s="13">
        <v>0</v>
      </c>
      <c r="I106" s="13">
        <v>0</v>
      </c>
      <c r="J106" s="13">
        <v>0</v>
      </c>
      <c r="K106" s="56">
        <v>42870</v>
      </c>
      <c r="L106" s="32">
        <v>357</v>
      </c>
      <c r="M106" s="145">
        <f t="shared" si="2"/>
        <v>24</v>
      </c>
      <c r="N106" s="145">
        <f t="shared" si="3"/>
        <v>1</v>
      </c>
    </row>
    <row r="107" spans="2:14" x14ac:dyDescent="0.35">
      <c r="B107" s="10" t="s">
        <v>730</v>
      </c>
      <c r="C107" s="13" t="s">
        <v>20</v>
      </c>
      <c r="D107" s="30">
        <v>42842</v>
      </c>
      <c r="E107" s="13">
        <v>1</v>
      </c>
      <c r="F107" s="13">
        <v>1</v>
      </c>
      <c r="G107" s="13">
        <v>0</v>
      </c>
      <c r="H107" s="13">
        <v>0</v>
      </c>
      <c r="I107" s="13">
        <v>0</v>
      </c>
      <c r="J107" s="13">
        <v>0</v>
      </c>
      <c r="K107" s="56">
        <v>42863</v>
      </c>
      <c r="L107" s="32">
        <v>356</v>
      </c>
      <c r="M107" s="145">
        <f t="shared" si="2"/>
        <v>21</v>
      </c>
      <c r="N107" s="145">
        <f t="shared" si="3"/>
        <v>1</v>
      </c>
    </row>
    <row r="108" spans="2:14" x14ac:dyDescent="0.35">
      <c r="B108" s="10" t="s">
        <v>479</v>
      </c>
      <c r="C108" s="13" t="s">
        <v>31</v>
      </c>
      <c r="D108" s="30">
        <v>42862</v>
      </c>
      <c r="E108" s="13">
        <v>1</v>
      </c>
      <c r="F108" s="13">
        <v>1</v>
      </c>
      <c r="G108" s="13">
        <v>0</v>
      </c>
      <c r="H108" s="13">
        <v>0</v>
      </c>
      <c r="I108" s="13">
        <v>0</v>
      </c>
      <c r="J108" s="13">
        <v>0</v>
      </c>
      <c r="K108" s="56">
        <v>42881</v>
      </c>
      <c r="L108" s="32">
        <v>356</v>
      </c>
      <c r="M108" s="145">
        <f t="shared" si="2"/>
        <v>19</v>
      </c>
      <c r="N108" s="145">
        <f t="shared" si="3"/>
        <v>1</v>
      </c>
    </row>
    <row r="109" spans="2:14" x14ac:dyDescent="0.35">
      <c r="B109" s="10" t="s">
        <v>62</v>
      </c>
      <c r="C109" s="13" t="s">
        <v>20</v>
      </c>
      <c r="D109" s="30">
        <v>42834</v>
      </c>
      <c r="E109" s="13">
        <v>1</v>
      </c>
      <c r="F109" s="13">
        <v>1</v>
      </c>
      <c r="G109" s="13">
        <v>0</v>
      </c>
      <c r="H109" s="13">
        <v>0</v>
      </c>
      <c r="I109" s="13">
        <v>0</v>
      </c>
      <c r="J109" s="13">
        <v>0</v>
      </c>
      <c r="K109" s="56">
        <v>42844</v>
      </c>
      <c r="L109" s="32">
        <v>355</v>
      </c>
      <c r="M109" s="145">
        <f t="shared" si="2"/>
        <v>10</v>
      </c>
      <c r="N109" s="145">
        <f t="shared" si="3"/>
        <v>1</v>
      </c>
    </row>
    <row r="110" spans="2:14" x14ac:dyDescent="0.35">
      <c r="B110" s="10" t="s">
        <v>105</v>
      </c>
      <c r="C110" s="13" t="s">
        <v>31</v>
      </c>
      <c r="D110" s="30">
        <v>42849</v>
      </c>
      <c r="E110" s="13">
        <v>1</v>
      </c>
      <c r="F110" s="13">
        <v>0</v>
      </c>
      <c r="G110" s="13">
        <v>1</v>
      </c>
      <c r="H110" s="13">
        <v>1</v>
      </c>
      <c r="I110" s="13">
        <v>0</v>
      </c>
      <c r="J110" s="13">
        <v>0</v>
      </c>
      <c r="K110" s="56">
        <v>42889</v>
      </c>
      <c r="L110" s="32">
        <v>354</v>
      </c>
      <c r="M110" s="145">
        <f t="shared" si="2"/>
        <v>40</v>
      </c>
      <c r="N110" s="145">
        <f t="shared" si="3"/>
        <v>2</v>
      </c>
    </row>
    <row r="111" spans="2:14" x14ac:dyDescent="0.35">
      <c r="B111" s="10" t="s">
        <v>968</v>
      </c>
      <c r="C111" s="13" t="s">
        <v>20</v>
      </c>
      <c r="D111" s="30">
        <v>42847</v>
      </c>
      <c r="E111" s="13">
        <v>1</v>
      </c>
      <c r="F111" s="13">
        <v>1</v>
      </c>
      <c r="G111" s="13">
        <v>0</v>
      </c>
      <c r="H111" s="13">
        <v>0</v>
      </c>
      <c r="I111" s="13">
        <v>0</v>
      </c>
      <c r="J111" s="13">
        <v>0</v>
      </c>
      <c r="K111" s="56">
        <v>42866</v>
      </c>
      <c r="L111" s="32">
        <v>353</v>
      </c>
      <c r="M111" s="145">
        <f t="shared" si="2"/>
        <v>19</v>
      </c>
      <c r="N111" s="145">
        <f t="shared" si="3"/>
        <v>1</v>
      </c>
    </row>
    <row r="112" spans="2:14" x14ac:dyDescent="0.35">
      <c r="B112" s="10" t="s">
        <v>724</v>
      </c>
      <c r="C112" s="13" t="s">
        <v>20</v>
      </c>
      <c r="D112" s="30">
        <v>42911</v>
      </c>
      <c r="E112" s="13">
        <v>1</v>
      </c>
      <c r="F112" s="13">
        <v>0</v>
      </c>
      <c r="G112" s="13">
        <v>1</v>
      </c>
      <c r="H112" s="13">
        <v>1</v>
      </c>
      <c r="I112" s="13">
        <v>0</v>
      </c>
      <c r="J112" s="13">
        <v>0</v>
      </c>
      <c r="K112" s="56">
        <v>42944</v>
      </c>
      <c r="L112" s="32">
        <v>353</v>
      </c>
      <c r="M112" s="145">
        <f t="shared" si="2"/>
        <v>33</v>
      </c>
      <c r="N112" s="145">
        <f t="shared" si="3"/>
        <v>2</v>
      </c>
    </row>
    <row r="113" spans="2:14" x14ac:dyDescent="0.35">
      <c r="B113" s="10" t="s">
        <v>163</v>
      </c>
      <c r="C113" s="13" t="s">
        <v>31</v>
      </c>
      <c r="D113" s="30">
        <v>42858</v>
      </c>
      <c r="E113" s="13">
        <v>1</v>
      </c>
      <c r="F113" s="13">
        <v>0</v>
      </c>
      <c r="G113" s="13">
        <v>1</v>
      </c>
      <c r="H113" s="13">
        <v>1</v>
      </c>
      <c r="I113" s="13">
        <v>0</v>
      </c>
      <c r="J113" s="13">
        <v>0</v>
      </c>
      <c r="K113" s="56">
        <v>42913</v>
      </c>
      <c r="L113" s="32">
        <v>352</v>
      </c>
      <c r="M113" s="145">
        <f t="shared" si="2"/>
        <v>55</v>
      </c>
      <c r="N113" s="145">
        <f t="shared" si="3"/>
        <v>2</v>
      </c>
    </row>
    <row r="114" spans="2:14" x14ac:dyDescent="0.35">
      <c r="B114" s="10" t="s">
        <v>182</v>
      </c>
      <c r="C114" s="13" t="s">
        <v>31</v>
      </c>
      <c r="D114" s="30">
        <v>42840</v>
      </c>
      <c r="E114" s="13">
        <v>1</v>
      </c>
      <c r="F114" s="13">
        <v>1</v>
      </c>
      <c r="G114" s="13">
        <v>0</v>
      </c>
      <c r="H114" s="13">
        <v>0</v>
      </c>
      <c r="I114" s="13">
        <v>0</v>
      </c>
      <c r="J114" s="13">
        <v>0</v>
      </c>
      <c r="K114" s="56">
        <v>42865</v>
      </c>
      <c r="L114" s="32">
        <v>350</v>
      </c>
      <c r="M114" s="145">
        <f t="shared" si="2"/>
        <v>25</v>
      </c>
      <c r="N114" s="145">
        <f t="shared" si="3"/>
        <v>1</v>
      </c>
    </row>
    <row r="115" spans="2:14" x14ac:dyDescent="0.35">
      <c r="B115" s="10" t="s">
        <v>141</v>
      </c>
      <c r="C115" s="13" t="s">
        <v>20</v>
      </c>
      <c r="D115" s="30">
        <v>42886</v>
      </c>
      <c r="E115" s="13">
        <v>1</v>
      </c>
      <c r="F115" s="13">
        <v>0</v>
      </c>
      <c r="G115" s="13">
        <v>1</v>
      </c>
      <c r="H115" s="13">
        <v>1</v>
      </c>
      <c r="I115" s="13">
        <v>0</v>
      </c>
      <c r="J115" s="13">
        <v>0</v>
      </c>
      <c r="K115" s="56">
        <v>42940</v>
      </c>
      <c r="L115" s="32">
        <v>350</v>
      </c>
      <c r="M115" s="145">
        <f t="shared" si="2"/>
        <v>54</v>
      </c>
      <c r="N115" s="145">
        <f t="shared" si="3"/>
        <v>2</v>
      </c>
    </row>
    <row r="116" spans="2:14" x14ac:dyDescent="0.35">
      <c r="B116" s="10" t="s">
        <v>543</v>
      </c>
      <c r="C116" s="13" t="s">
        <v>20</v>
      </c>
      <c r="D116" s="30">
        <v>42863</v>
      </c>
      <c r="E116" s="13">
        <v>1</v>
      </c>
      <c r="F116" s="13">
        <v>1</v>
      </c>
      <c r="G116" s="13">
        <v>0</v>
      </c>
      <c r="H116" s="13">
        <v>0</v>
      </c>
      <c r="I116" s="13">
        <v>0</v>
      </c>
      <c r="J116" s="13">
        <v>0</v>
      </c>
      <c r="K116" s="56">
        <v>42884</v>
      </c>
      <c r="L116" s="32">
        <v>350</v>
      </c>
      <c r="M116" s="145">
        <f t="shared" si="2"/>
        <v>21</v>
      </c>
      <c r="N116" s="145">
        <f t="shared" si="3"/>
        <v>1</v>
      </c>
    </row>
    <row r="117" spans="2:14" x14ac:dyDescent="0.35">
      <c r="B117" s="10" t="s">
        <v>587</v>
      </c>
      <c r="C117" s="13" t="s">
        <v>31</v>
      </c>
      <c r="D117" s="30">
        <v>42828</v>
      </c>
      <c r="E117" s="13">
        <v>1</v>
      </c>
      <c r="F117" s="13">
        <v>1</v>
      </c>
      <c r="G117" s="13">
        <v>0</v>
      </c>
      <c r="H117" s="13">
        <v>0</v>
      </c>
      <c r="I117" s="13">
        <v>0</v>
      </c>
      <c r="J117" s="13">
        <v>0</v>
      </c>
      <c r="K117" s="56">
        <v>42831</v>
      </c>
      <c r="L117" s="32">
        <v>349</v>
      </c>
      <c r="M117" s="145">
        <f t="shared" si="2"/>
        <v>3</v>
      </c>
      <c r="N117" s="145">
        <f t="shared" si="3"/>
        <v>1</v>
      </c>
    </row>
    <row r="118" spans="2:14" x14ac:dyDescent="0.35">
      <c r="B118" s="10" t="s">
        <v>224</v>
      </c>
      <c r="C118" s="13" t="s">
        <v>20</v>
      </c>
      <c r="D118" s="30">
        <v>42870</v>
      </c>
      <c r="E118" s="13">
        <v>1</v>
      </c>
      <c r="F118" s="13">
        <v>1</v>
      </c>
      <c r="G118" s="13">
        <v>0</v>
      </c>
      <c r="H118" s="13">
        <v>0</v>
      </c>
      <c r="I118" s="13">
        <v>0</v>
      </c>
      <c r="J118" s="13">
        <v>0</v>
      </c>
      <c r="K118" s="56">
        <v>42878</v>
      </c>
      <c r="L118" s="32">
        <v>347</v>
      </c>
      <c r="M118" s="145">
        <f t="shared" si="2"/>
        <v>8</v>
      </c>
      <c r="N118" s="145">
        <f t="shared" si="3"/>
        <v>1</v>
      </c>
    </row>
    <row r="119" spans="2:14" x14ac:dyDescent="0.35">
      <c r="B119" s="10" t="s">
        <v>683</v>
      </c>
      <c r="C119" s="13" t="s">
        <v>20</v>
      </c>
      <c r="D119" s="30">
        <v>42839</v>
      </c>
      <c r="E119" s="13">
        <v>1</v>
      </c>
      <c r="F119" s="13">
        <v>1</v>
      </c>
      <c r="G119" s="13">
        <v>0</v>
      </c>
      <c r="H119" s="13">
        <v>0</v>
      </c>
      <c r="I119" s="13">
        <v>0</v>
      </c>
      <c r="J119" s="13">
        <v>0</v>
      </c>
      <c r="K119" s="56">
        <v>42844</v>
      </c>
      <c r="L119" s="32">
        <v>347</v>
      </c>
      <c r="M119" s="145">
        <f t="shared" si="2"/>
        <v>5</v>
      </c>
      <c r="N119" s="145">
        <f t="shared" si="3"/>
        <v>1</v>
      </c>
    </row>
    <row r="120" spans="2:14" x14ac:dyDescent="0.35">
      <c r="B120" s="10" t="s">
        <v>54</v>
      </c>
      <c r="C120" s="13" t="s">
        <v>31</v>
      </c>
      <c r="D120" s="30">
        <v>42904</v>
      </c>
      <c r="E120" s="13">
        <v>1</v>
      </c>
      <c r="F120" s="13">
        <v>0</v>
      </c>
      <c r="G120" s="13">
        <v>1</v>
      </c>
      <c r="H120" s="13">
        <v>1</v>
      </c>
      <c r="I120" s="13">
        <v>0</v>
      </c>
      <c r="J120" s="13">
        <v>0</v>
      </c>
      <c r="K120" s="56">
        <v>42959</v>
      </c>
      <c r="L120" s="32">
        <v>347</v>
      </c>
      <c r="M120" s="145">
        <f t="shared" si="2"/>
        <v>55</v>
      </c>
      <c r="N120" s="145">
        <f t="shared" si="3"/>
        <v>2</v>
      </c>
    </row>
    <row r="121" spans="2:14" x14ac:dyDescent="0.35">
      <c r="B121" s="10" t="s">
        <v>106</v>
      </c>
      <c r="C121" s="13" t="s">
        <v>20</v>
      </c>
      <c r="D121" s="30">
        <v>42899</v>
      </c>
      <c r="E121" s="13">
        <v>1</v>
      </c>
      <c r="F121" s="13">
        <v>0</v>
      </c>
      <c r="G121" s="13">
        <v>1</v>
      </c>
      <c r="H121" s="13">
        <v>1</v>
      </c>
      <c r="I121" s="13">
        <v>0</v>
      </c>
      <c r="J121" s="13">
        <v>0</v>
      </c>
      <c r="K121" s="56">
        <v>42935</v>
      </c>
      <c r="L121" s="32">
        <v>347</v>
      </c>
      <c r="M121" s="145">
        <f t="shared" si="2"/>
        <v>36</v>
      </c>
      <c r="N121" s="145">
        <f t="shared" si="3"/>
        <v>2</v>
      </c>
    </row>
    <row r="122" spans="2:14" x14ac:dyDescent="0.35">
      <c r="B122" s="10" t="s">
        <v>777</v>
      </c>
      <c r="C122" s="13" t="s">
        <v>20</v>
      </c>
      <c r="D122" s="30">
        <v>42835</v>
      </c>
      <c r="E122" s="13">
        <v>1</v>
      </c>
      <c r="F122" s="13">
        <v>0</v>
      </c>
      <c r="G122" s="13">
        <v>1</v>
      </c>
      <c r="H122" s="13">
        <v>0</v>
      </c>
      <c r="I122" s="13">
        <v>1</v>
      </c>
      <c r="J122" s="13">
        <v>1</v>
      </c>
      <c r="K122" s="56">
        <v>42898</v>
      </c>
      <c r="L122" s="32">
        <v>347</v>
      </c>
      <c r="M122" s="145">
        <f t="shared" si="2"/>
        <v>63</v>
      </c>
      <c r="N122" s="145">
        <f t="shared" si="3"/>
        <v>3</v>
      </c>
    </row>
    <row r="123" spans="2:14" x14ac:dyDescent="0.35">
      <c r="B123" s="10" t="s">
        <v>219</v>
      </c>
      <c r="C123" s="13" t="s">
        <v>31</v>
      </c>
      <c r="D123" s="30">
        <v>42876</v>
      </c>
      <c r="E123" s="13">
        <v>1</v>
      </c>
      <c r="F123" s="13">
        <v>1</v>
      </c>
      <c r="G123" s="13">
        <v>0</v>
      </c>
      <c r="H123" s="13">
        <v>0</v>
      </c>
      <c r="I123" s="13">
        <v>0</v>
      </c>
      <c r="J123" s="13">
        <v>0</v>
      </c>
      <c r="K123" s="56">
        <v>42891</v>
      </c>
      <c r="L123" s="32">
        <v>347</v>
      </c>
      <c r="M123" s="145">
        <f t="shared" si="2"/>
        <v>15</v>
      </c>
      <c r="N123" s="145">
        <f t="shared" si="3"/>
        <v>1</v>
      </c>
    </row>
    <row r="124" spans="2:14" x14ac:dyDescent="0.35">
      <c r="B124" s="10" t="s">
        <v>164</v>
      </c>
      <c r="C124" s="13" t="s">
        <v>31</v>
      </c>
      <c r="D124" s="30">
        <v>42856</v>
      </c>
      <c r="E124" s="13">
        <v>1</v>
      </c>
      <c r="F124" s="13">
        <v>1</v>
      </c>
      <c r="G124" s="13">
        <v>0</v>
      </c>
      <c r="H124" s="13">
        <v>0</v>
      </c>
      <c r="I124" s="13">
        <v>0</v>
      </c>
      <c r="J124" s="13">
        <v>0</v>
      </c>
      <c r="K124" s="56">
        <v>42868</v>
      </c>
      <c r="L124" s="32">
        <v>346</v>
      </c>
      <c r="M124" s="145">
        <f t="shared" si="2"/>
        <v>12</v>
      </c>
      <c r="N124" s="145">
        <f t="shared" si="3"/>
        <v>1</v>
      </c>
    </row>
    <row r="125" spans="2:14" x14ac:dyDescent="0.35">
      <c r="B125" s="10" t="s">
        <v>418</v>
      </c>
      <c r="C125" s="13" t="s">
        <v>31</v>
      </c>
      <c r="D125" s="30">
        <v>42889</v>
      </c>
      <c r="E125" s="13">
        <v>1</v>
      </c>
      <c r="F125" s="13">
        <v>1</v>
      </c>
      <c r="G125" s="13">
        <v>0</v>
      </c>
      <c r="H125" s="13">
        <v>0</v>
      </c>
      <c r="I125" s="13">
        <v>0</v>
      </c>
      <c r="J125" s="13">
        <v>0</v>
      </c>
      <c r="K125" s="56">
        <v>42906</v>
      </c>
      <c r="L125" s="32">
        <v>345</v>
      </c>
      <c r="M125" s="145">
        <f t="shared" si="2"/>
        <v>17</v>
      </c>
      <c r="N125" s="145">
        <f t="shared" si="3"/>
        <v>1</v>
      </c>
    </row>
    <row r="126" spans="2:14" x14ac:dyDescent="0.35">
      <c r="B126" s="10" t="s">
        <v>677</v>
      </c>
      <c r="C126" s="13" t="s">
        <v>20</v>
      </c>
      <c r="D126" s="30">
        <v>42850</v>
      </c>
      <c r="E126" s="13">
        <v>1</v>
      </c>
      <c r="F126" s="13">
        <v>1</v>
      </c>
      <c r="G126" s="13">
        <v>0</v>
      </c>
      <c r="H126" s="13">
        <v>0</v>
      </c>
      <c r="I126" s="13">
        <v>0</v>
      </c>
      <c r="J126" s="13">
        <v>0</v>
      </c>
      <c r="K126" s="56">
        <v>42854</v>
      </c>
      <c r="L126" s="32">
        <v>344</v>
      </c>
      <c r="M126" s="145">
        <f t="shared" si="2"/>
        <v>4</v>
      </c>
      <c r="N126" s="145">
        <f t="shared" si="3"/>
        <v>1</v>
      </c>
    </row>
    <row r="127" spans="2:14" x14ac:dyDescent="0.35">
      <c r="B127" s="10" t="s">
        <v>414</v>
      </c>
      <c r="C127" s="13" t="s">
        <v>31</v>
      </c>
      <c r="D127" s="30">
        <v>42905</v>
      </c>
      <c r="E127" s="13">
        <v>1</v>
      </c>
      <c r="F127" s="13">
        <v>0</v>
      </c>
      <c r="G127" s="13">
        <v>1</v>
      </c>
      <c r="H127" s="13">
        <v>1</v>
      </c>
      <c r="I127" s="13">
        <v>0</v>
      </c>
      <c r="J127" s="13">
        <v>0</v>
      </c>
      <c r="K127" s="56">
        <v>42951</v>
      </c>
      <c r="L127" s="32">
        <v>343</v>
      </c>
      <c r="M127" s="145">
        <f t="shared" si="2"/>
        <v>46</v>
      </c>
      <c r="N127" s="145">
        <f t="shared" si="3"/>
        <v>2</v>
      </c>
    </row>
    <row r="128" spans="2:14" x14ac:dyDescent="0.35">
      <c r="B128" s="10" t="s">
        <v>320</v>
      </c>
      <c r="C128" s="13" t="s">
        <v>31</v>
      </c>
      <c r="D128" s="30">
        <v>42878</v>
      </c>
      <c r="E128" s="13">
        <v>1</v>
      </c>
      <c r="F128" s="13">
        <v>0</v>
      </c>
      <c r="G128" s="13">
        <v>1</v>
      </c>
      <c r="H128" s="13">
        <v>1</v>
      </c>
      <c r="I128" s="13">
        <v>0</v>
      </c>
      <c r="J128" s="13">
        <v>0</v>
      </c>
      <c r="K128" s="56">
        <v>42927</v>
      </c>
      <c r="L128" s="32">
        <v>343</v>
      </c>
      <c r="M128" s="145">
        <f t="shared" si="2"/>
        <v>49</v>
      </c>
      <c r="N128" s="145">
        <f t="shared" si="3"/>
        <v>2</v>
      </c>
    </row>
    <row r="129" spans="2:14" x14ac:dyDescent="0.35">
      <c r="B129" s="10" t="s">
        <v>765</v>
      </c>
      <c r="C129" s="13" t="s">
        <v>20</v>
      </c>
      <c r="D129" s="30">
        <v>42901</v>
      </c>
      <c r="E129" s="13">
        <v>1</v>
      </c>
      <c r="F129" s="13">
        <v>0</v>
      </c>
      <c r="G129" s="13">
        <v>1</v>
      </c>
      <c r="H129" s="13">
        <v>1</v>
      </c>
      <c r="I129" s="13">
        <v>0</v>
      </c>
      <c r="J129" s="13">
        <v>0</v>
      </c>
      <c r="K129" s="56">
        <v>42938</v>
      </c>
      <c r="L129" s="32">
        <v>343</v>
      </c>
      <c r="M129" s="145">
        <f t="shared" si="2"/>
        <v>37</v>
      </c>
      <c r="N129" s="145">
        <f t="shared" si="3"/>
        <v>2</v>
      </c>
    </row>
    <row r="130" spans="2:14" x14ac:dyDescent="0.35">
      <c r="B130" s="10" t="s">
        <v>659</v>
      </c>
      <c r="C130" s="13" t="s">
        <v>20</v>
      </c>
      <c r="D130" s="30">
        <v>42873</v>
      </c>
      <c r="E130" s="13">
        <v>1</v>
      </c>
      <c r="F130" s="13">
        <v>0</v>
      </c>
      <c r="G130" s="13">
        <v>1</v>
      </c>
      <c r="H130" s="13">
        <v>1</v>
      </c>
      <c r="I130" s="13">
        <v>0</v>
      </c>
      <c r="J130" s="13">
        <v>0</v>
      </c>
      <c r="K130" s="56">
        <v>42908</v>
      </c>
      <c r="L130" s="32">
        <v>343</v>
      </c>
      <c r="M130" s="145">
        <f t="shared" si="2"/>
        <v>35</v>
      </c>
      <c r="N130" s="145">
        <f t="shared" si="3"/>
        <v>2</v>
      </c>
    </row>
    <row r="131" spans="2:14" x14ac:dyDescent="0.35">
      <c r="B131" s="10" t="s">
        <v>66</v>
      </c>
      <c r="C131" s="13" t="s">
        <v>20</v>
      </c>
      <c r="D131" s="30">
        <v>42847</v>
      </c>
      <c r="E131" s="13">
        <v>1</v>
      </c>
      <c r="F131" s="13">
        <v>1</v>
      </c>
      <c r="G131" s="13">
        <v>0</v>
      </c>
      <c r="H131" s="13">
        <v>0</v>
      </c>
      <c r="I131" s="13">
        <v>0</v>
      </c>
      <c r="J131" s="13">
        <v>0</v>
      </c>
      <c r="K131" s="56">
        <v>42855</v>
      </c>
      <c r="L131" s="32">
        <v>340</v>
      </c>
      <c r="M131" s="145">
        <f t="shared" si="2"/>
        <v>8</v>
      </c>
      <c r="N131" s="145">
        <f t="shared" si="3"/>
        <v>1</v>
      </c>
    </row>
    <row r="132" spans="2:14" x14ac:dyDescent="0.35">
      <c r="B132" s="10" t="s">
        <v>140</v>
      </c>
      <c r="C132" s="13" t="s">
        <v>20</v>
      </c>
      <c r="D132" s="30">
        <v>42887</v>
      </c>
      <c r="E132" s="13">
        <v>1</v>
      </c>
      <c r="F132" s="13">
        <v>0</v>
      </c>
      <c r="G132" s="13">
        <v>1</v>
      </c>
      <c r="H132" s="13">
        <v>1</v>
      </c>
      <c r="I132" s="13">
        <v>0</v>
      </c>
      <c r="J132" s="13">
        <v>0</v>
      </c>
      <c r="K132" s="56">
        <v>42923</v>
      </c>
      <c r="L132" s="32">
        <v>338</v>
      </c>
      <c r="M132" s="145">
        <f t="shared" si="2"/>
        <v>36</v>
      </c>
      <c r="N132" s="145">
        <f t="shared" si="3"/>
        <v>2</v>
      </c>
    </row>
    <row r="133" spans="2:14" x14ac:dyDescent="0.35">
      <c r="B133" s="10" t="s">
        <v>318</v>
      </c>
      <c r="C133" s="13" t="s">
        <v>20</v>
      </c>
      <c r="D133" s="30">
        <v>42828</v>
      </c>
      <c r="E133" s="13">
        <v>1</v>
      </c>
      <c r="F133" s="13">
        <v>0</v>
      </c>
      <c r="G133" s="13">
        <v>1</v>
      </c>
      <c r="H133" s="13">
        <v>0</v>
      </c>
      <c r="I133" s="13">
        <v>1</v>
      </c>
      <c r="J133" s="13">
        <v>1</v>
      </c>
      <c r="K133" s="56">
        <v>42900</v>
      </c>
      <c r="L133" s="32">
        <v>338</v>
      </c>
      <c r="M133" s="145">
        <f t="shared" si="2"/>
        <v>72</v>
      </c>
      <c r="N133" s="145">
        <f t="shared" si="3"/>
        <v>3</v>
      </c>
    </row>
    <row r="134" spans="2:14" x14ac:dyDescent="0.35">
      <c r="B134" s="10" t="s">
        <v>254</v>
      </c>
      <c r="C134" s="13" t="s">
        <v>31</v>
      </c>
      <c r="D134" s="30">
        <v>42859</v>
      </c>
      <c r="E134" s="13">
        <v>1</v>
      </c>
      <c r="F134" s="13">
        <v>1</v>
      </c>
      <c r="G134" s="13">
        <v>0</v>
      </c>
      <c r="H134" s="13">
        <v>0</v>
      </c>
      <c r="I134" s="13">
        <v>0</v>
      </c>
      <c r="J134" s="13">
        <v>0</v>
      </c>
      <c r="K134" s="56">
        <v>42861</v>
      </c>
      <c r="L134" s="32">
        <v>337</v>
      </c>
      <c r="M134" s="145">
        <f t="shared" si="2"/>
        <v>2</v>
      </c>
      <c r="N134" s="145">
        <f t="shared" si="3"/>
        <v>1</v>
      </c>
    </row>
    <row r="135" spans="2:14" x14ac:dyDescent="0.35">
      <c r="B135" s="10" t="s">
        <v>386</v>
      </c>
      <c r="C135" s="13" t="s">
        <v>31</v>
      </c>
      <c r="D135" s="30">
        <v>42849</v>
      </c>
      <c r="E135" s="13">
        <v>1</v>
      </c>
      <c r="F135" s="13">
        <v>1</v>
      </c>
      <c r="G135" s="13">
        <v>0</v>
      </c>
      <c r="H135" s="13">
        <v>0</v>
      </c>
      <c r="I135" s="13">
        <v>0</v>
      </c>
      <c r="J135" s="13">
        <v>0</v>
      </c>
      <c r="K135" s="56">
        <v>42857</v>
      </c>
      <c r="L135" s="32">
        <v>337</v>
      </c>
      <c r="M135" s="145">
        <f t="shared" ref="M135:M198" si="4">IF(K135="", "", K135-D135)</f>
        <v>8</v>
      </c>
      <c r="N135" s="145">
        <f t="shared" ref="N135:N198" si="5">IF(F135=1,1, IF(H135=1,2, IF(J135=1,3, "")))</f>
        <v>1</v>
      </c>
    </row>
    <row r="136" spans="2:14" x14ac:dyDescent="0.35">
      <c r="B136" s="10" t="s">
        <v>311</v>
      </c>
      <c r="C136" s="13" t="s">
        <v>31</v>
      </c>
      <c r="D136" s="30">
        <v>42860</v>
      </c>
      <c r="E136" s="13">
        <v>1</v>
      </c>
      <c r="F136" s="13">
        <v>1</v>
      </c>
      <c r="G136" s="13">
        <v>0</v>
      </c>
      <c r="H136" s="13">
        <v>0</v>
      </c>
      <c r="I136" s="13">
        <v>0</v>
      </c>
      <c r="J136" s="13">
        <v>0</v>
      </c>
      <c r="K136" s="56">
        <v>42879</v>
      </c>
      <c r="L136" s="32">
        <v>336</v>
      </c>
      <c r="M136" s="145">
        <f t="shared" si="4"/>
        <v>19</v>
      </c>
      <c r="N136" s="145">
        <f t="shared" si="5"/>
        <v>1</v>
      </c>
    </row>
    <row r="137" spans="2:14" x14ac:dyDescent="0.35">
      <c r="B137" s="10" t="s">
        <v>300</v>
      </c>
      <c r="C137" s="13" t="s">
        <v>20</v>
      </c>
      <c r="D137" s="30">
        <v>42837</v>
      </c>
      <c r="E137" s="13">
        <v>1</v>
      </c>
      <c r="F137" s="13">
        <v>1</v>
      </c>
      <c r="G137" s="13">
        <v>0</v>
      </c>
      <c r="H137" s="13">
        <v>0</v>
      </c>
      <c r="I137" s="13">
        <v>0</v>
      </c>
      <c r="J137" s="13">
        <v>0</v>
      </c>
      <c r="K137" s="56">
        <v>42862</v>
      </c>
      <c r="L137" s="32">
        <v>336</v>
      </c>
      <c r="M137" s="145">
        <f t="shared" si="4"/>
        <v>25</v>
      </c>
      <c r="N137" s="145">
        <f t="shared" si="5"/>
        <v>1</v>
      </c>
    </row>
    <row r="138" spans="2:14" x14ac:dyDescent="0.35">
      <c r="B138" s="10" t="s">
        <v>88</v>
      </c>
      <c r="C138" s="13" t="s">
        <v>31</v>
      </c>
      <c r="D138" s="30">
        <v>42828</v>
      </c>
      <c r="E138" s="13">
        <v>1</v>
      </c>
      <c r="F138" s="13">
        <v>0</v>
      </c>
      <c r="G138" s="13">
        <v>1</v>
      </c>
      <c r="H138" s="13">
        <v>1</v>
      </c>
      <c r="I138" s="13">
        <v>0</v>
      </c>
      <c r="J138" s="13">
        <v>0</v>
      </c>
      <c r="K138" s="56">
        <v>42858</v>
      </c>
      <c r="L138" s="32">
        <v>336</v>
      </c>
      <c r="M138" s="145">
        <f t="shared" si="4"/>
        <v>30</v>
      </c>
      <c r="N138" s="145">
        <f t="shared" si="5"/>
        <v>2</v>
      </c>
    </row>
    <row r="139" spans="2:14" x14ac:dyDescent="0.35">
      <c r="B139" s="10" t="s">
        <v>301</v>
      </c>
      <c r="C139" s="13" t="s">
        <v>20</v>
      </c>
      <c r="D139" s="30">
        <v>42854</v>
      </c>
      <c r="E139" s="13">
        <v>1</v>
      </c>
      <c r="F139" s="13">
        <v>1</v>
      </c>
      <c r="G139" s="13">
        <v>0</v>
      </c>
      <c r="H139" s="13">
        <v>0</v>
      </c>
      <c r="I139" s="13">
        <v>0</v>
      </c>
      <c r="J139" s="13">
        <v>0</v>
      </c>
      <c r="K139" s="56">
        <v>42865</v>
      </c>
      <c r="L139" s="32">
        <v>335</v>
      </c>
      <c r="M139" s="145">
        <f t="shared" si="4"/>
        <v>11</v>
      </c>
      <c r="N139" s="145">
        <f t="shared" si="5"/>
        <v>1</v>
      </c>
    </row>
    <row r="140" spans="2:14" x14ac:dyDescent="0.35">
      <c r="B140" s="10" t="s">
        <v>167</v>
      </c>
      <c r="C140" s="13" t="s">
        <v>31</v>
      </c>
      <c r="D140" s="30">
        <v>42869</v>
      </c>
      <c r="E140" s="13">
        <v>1</v>
      </c>
      <c r="F140" s="13">
        <v>0</v>
      </c>
      <c r="G140" s="13">
        <v>1</v>
      </c>
      <c r="H140" s="13">
        <v>1</v>
      </c>
      <c r="I140" s="13">
        <v>0</v>
      </c>
      <c r="J140" s="13">
        <v>0</v>
      </c>
      <c r="K140" s="56">
        <v>42917</v>
      </c>
      <c r="L140" s="32">
        <v>335</v>
      </c>
      <c r="M140" s="145">
        <f t="shared" si="4"/>
        <v>48</v>
      </c>
      <c r="N140" s="145">
        <f t="shared" si="5"/>
        <v>2</v>
      </c>
    </row>
    <row r="141" spans="2:14" x14ac:dyDescent="0.35">
      <c r="B141" s="10" t="s">
        <v>542</v>
      </c>
      <c r="C141" s="13" t="s">
        <v>31</v>
      </c>
      <c r="D141" s="30">
        <v>42858</v>
      </c>
      <c r="E141" s="13">
        <v>1</v>
      </c>
      <c r="F141" s="13">
        <v>0</v>
      </c>
      <c r="G141" s="13">
        <v>1</v>
      </c>
      <c r="H141" s="13">
        <v>0</v>
      </c>
      <c r="I141" s="13">
        <v>1</v>
      </c>
      <c r="J141" s="13">
        <v>1</v>
      </c>
      <c r="K141" s="56">
        <v>42924</v>
      </c>
      <c r="L141" s="32">
        <v>335</v>
      </c>
      <c r="M141" s="145">
        <f t="shared" si="4"/>
        <v>66</v>
      </c>
      <c r="N141" s="145">
        <f t="shared" si="5"/>
        <v>3</v>
      </c>
    </row>
    <row r="142" spans="2:14" x14ac:dyDescent="0.35">
      <c r="B142" s="10" t="s">
        <v>570</v>
      </c>
      <c r="C142" s="13" t="s">
        <v>20</v>
      </c>
      <c r="D142" s="30">
        <v>42876</v>
      </c>
      <c r="E142" s="13">
        <v>1</v>
      </c>
      <c r="F142" s="13">
        <v>0</v>
      </c>
      <c r="G142" s="13">
        <v>1</v>
      </c>
      <c r="H142" s="13">
        <v>0</v>
      </c>
      <c r="I142" s="13">
        <v>1</v>
      </c>
      <c r="J142" s="13">
        <v>1</v>
      </c>
      <c r="K142" s="56">
        <v>42946</v>
      </c>
      <c r="L142" s="32">
        <v>335</v>
      </c>
      <c r="M142" s="145">
        <f t="shared" si="4"/>
        <v>70</v>
      </c>
      <c r="N142" s="145">
        <f t="shared" si="5"/>
        <v>3</v>
      </c>
    </row>
    <row r="143" spans="2:14" x14ac:dyDescent="0.35">
      <c r="B143" s="10" t="s">
        <v>226</v>
      </c>
      <c r="C143" s="13" t="s">
        <v>20</v>
      </c>
      <c r="D143" s="30">
        <v>42858</v>
      </c>
      <c r="E143" s="13">
        <v>1</v>
      </c>
      <c r="F143" s="13">
        <v>0</v>
      </c>
      <c r="G143" s="13">
        <v>1</v>
      </c>
      <c r="H143" s="13">
        <v>1</v>
      </c>
      <c r="I143" s="13">
        <v>0</v>
      </c>
      <c r="J143" s="13">
        <v>0</v>
      </c>
      <c r="K143" s="56">
        <v>42913</v>
      </c>
      <c r="L143" s="32">
        <v>334</v>
      </c>
      <c r="M143" s="145">
        <f t="shared" si="4"/>
        <v>55</v>
      </c>
      <c r="N143" s="145">
        <f t="shared" si="5"/>
        <v>2</v>
      </c>
    </row>
    <row r="144" spans="2:14" x14ac:dyDescent="0.35">
      <c r="B144" s="10" t="s">
        <v>764</v>
      </c>
      <c r="C144" s="13" t="s">
        <v>20</v>
      </c>
      <c r="D144" s="30">
        <v>42902</v>
      </c>
      <c r="E144" s="13">
        <v>1</v>
      </c>
      <c r="F144" s="13">
        <v>0</v>
      </c>
      <c r="G144" s="13">
        <v>1</v>
      </c>
      <c r="H144" s="13">
        <v>1</v>
      </c>
      <c r="I144" s="13">
        <v>0</v>
      </c>
      <c r="J144" s="13">
        <v>0</v>
      </c>
      <c r="K144" s="56">
        <v>42956</v>
      </c>
      <c r="L144" s="32">
        <v>334</v>
      </c>
      <c r="M144" s="145">
        <f t="shared" si="4"/>
        <v>54</v>
      </c>
      <c r="N144" s="145">
        <f t="shared" si="5"/>
        <v>2</v>
      </c>
    </row>
    <row r="145" spans="2:14" x14ac:dyDescent="0.35">
      <c r="B145" s="10" t="s">
        <v>257</v>
      </c>
      <c r="C145" s="13" t="s">
        <v>20</v>
      </c>
      <c r="D145" s="30">
        <v>42891</v>
      </c>
      <c r="E145" s="13">
        <v>1</v>
      </c>
      <c r="F145" s="13">
        <v>1</v>
      </c>
      <c r="G145" s="13">
        <v>0</v>
      </c>
      <c r="H145" s="13">
        <v>0</v>
      </c>
      <c r="I145" s="13">
        <v>0</v>
      </c>
      <c r="J145" s="13">
        <v>0</v>
      </c>
      <c r="K145" s="56">
        <v>42903</v>
      </c>
      <c r="L145" s="32">
        <v>333</v>
      </c>
      <c r="M145" s="145">
        <f t="shared" si="4"/>
        <v>12</v>
      </c>
      <c r="N145" s="145">
        <f t="shared" si="5"/>
        <v>1</v>
      </c>
    </row>
    <row r="146" spans="2:14" x14ac:dyDescent="0.35">
      <c r="B146" s="10" t="s">
        <v>438</v>
      </c>
      <c r="C146" s="13" t="s">
        <v>31</v>
      </c>
      <c r="D146" s="30">
        <v>42847</v>
      </c>
      <c r="E146" s="13">
        <v>1</v>
      </c>
      <c r="F146" s="13">
        <v>0</v>
      </c>
      <c r="G146" s="13">
        <v>1</v>
      </c>
      <c r="H146" s="13">
        <v>1</v>
      </c>
      <c r="I146" s="13">
        <v>0</v>
      </c>
      <c r="J146" s="13">
        <v>0</v>
      </c>
      <c r="K146" s="56">
        <v>42879</v>
      </c>
      <c r="L146" s="32">
        <v>333</v>
      </c>
      <c r="M146" s="145">
        <f t="shared" si="4"/>
        <v>32</v>
      </c>
      <c r="N146" s="145">
        <f t="shared" si="5"/>
        <v>2</v>
      </c>
    </row>
    <row r="147" spans="2:14" x14ac:dyDescent="0.35">
      <c r="B147" s="10" t="s">
        <v>129</v>
      </c>
      <c r="C147" s="13" t="s">
        <v>20</v>
      </c>
      <c r="D147" s="30">
        <v>42895</v>
      </c>
      <c r="E147" s="13">
        <v>1</v>
      </c>
      <c r="F147" s="13">
        <v>0</v>
      </c>
      <c r="G147" s="13">
        <v>1</v>
      </c>
      <c r="H147" s="13">
        <v>0</v>
      </c>
      <c r="I147" s="13">
        <v>1</v>
      </c>
      <c r="J147" s="13">
        <v>1</v>
      </c>
      <c r="K147" s="56">
        <v>42957</v>
      </c>
      <c r="L147" s="32">
        <v>333</v>
      </c>
      <c r="M147" s="145">
        <f t="shared" si="4"/>
        <v>62</v>
      </c>
      <c r="N147" s="145">
        <f t="shared" si="5"/>
        <v>3</v>
      </c>
    </row>
    <row r="148" spans="2:14" x14ac:dyDescent="0.35">
      <c r="B148" s="10" t="s">
        <v>456</v>
      </c>
      <c r="C148" s="13" t="s">
        <v>31</v>
      </c>
      <c r="D148" s="30">
        <v>42838</v>
      </c>
      <c r="E148" s="13">
        <v>1</v>
      </c>
      <c r="F148" s="13">
        <v>1</v>
      </c>
      <c r="G148" s="13">
        <v>0</v>
      </c>
      <c r="H148" s="13">
        <v>0</v>
      </c>
      <c r="I148" s="13">
        <v>0</v>
      </c>
      <c r="J148" s="13">
        <v>0</v>
      </c>
      <c r="K148" s="56">
        <v>42858</v>
      </c>
      <c r="L148" s="32">
        <v>333</v>
      </c>
      <c r="M148" s="145">
        <f t="shared" si="4"/>
        <v>20</v>
      </c>
      <c r="N148" s="145">
        <f t="shared" si="5"/>
        <v>1</v>
      </c>
    </row>
    <row r="149" spans="2:14" x14ac:dyDescent="0.35">
      <c r="B149" s="10" t="s">
        <v>681</v>
      </c>
      <c r="C149" s="13" t="s">
        <v>31</v>
      </c>
      <c r="D149" s="30">
        <v>42863</v>
      </c>
      <c r="E149" s="13">
        <v>1</v>
      </c>
      <c r="F149" s="13">
        <v>1</v>
      </c>
      <c r="G149" s="13">
        <v>0</v>
      </c>
      <c r="H149" s="13">
        <v>0</v>
      </c>
      <c r="I149" s="13">
        <v>0</v>
      </c>
      <c r="J149" s="13">
        <v>0</v>
      </c>
      <c r="K149" s="56">
        <v>42883</v>
      </c>
      <c r="L149" s="32">
        <v>333</v>
      </c>
      <c r="M149" s="145">
        <f t="shared" si="4"/>
        <v>20</v>
      </c>
      <c r="N149" s="145">
        <f t="shared" si="5"/>
        <v>1</v>
      </c>
    </row>
    <row r="150" spans="2:14" x14ac:dyDescent="0.35">
      <c r="B150" s="10" t="s">
        <v>539</v>
      </c>
      <c r="C150" s="13" t="s">
        <v>20</v>
      </c>
      <c r="D150" s="30">
        <v>42878</v>
      </c>
      <c r="E150" s="13">
        <v>1</v>
      </c>
      <c r="F150" s="13">
        <v>1</v>
      </c>
      <c r="G150" s="13">
        <v>0</v>
      </c>
      <c r="H150" s="13">
        <v>0</v>
      </c>
      <c r="I150" s="13">
        <v>0</v>
      </c>
      <c r="J150" s="13">
        <v>0</v>
      </c>
      <c r="K150" s="56">
        <v>42883</v>
      </c>
      <c r="L150" s="32">
        <v>333</v>
      </c>
      <c r="M150" s="145">
        <f t="shared" si="4"/>
        <v>5</v>
      </c>
      <c r="N150" s="145">
        <f t="shared" si="5"/>
        <v>1</v>
      </c>
    </row>
    <row r="151" spans="2:14" x14ac:dyDescent="0.35">
      <c r="B151" s="10" t="s">
        <v>410</v>
      </c>
      <c r="C151" s="13" t="s">
        <v>20</v>
      </c>
      <c r="D151" s="30">
        <v>42899</v>
      </c>
      <c r="E151" s="13">
        <v>1</v>
      </c>
      <c r="F151" s="13">
        <v>1</v>
      </c>
      <c r="G151" s="13">
        <v>0</v>
      </c>
      <c r="H151" s="13">
        <v>0</v>
      </c>
      <c r="I151" s="13">
        <v>0</v>
      </c>
      <c r="J151" s="13">
        <v>0</v>
      </c>
      <c r="K151" s="56">
        <v>42918</v>
      </c>
      <c r="L151" s="32">
        <v>332</v>
      </c>
      <c r="M151" s="145">
        <f t="shared" si="4"/>
        <v>19</v>
      </c>
      <c r="N151" s="145">
        <f t="shared" si="5"/>
        <v>1</v>
      </c>
    </row>
    <row r="152" spans="2:14" x14ac:dyDescent="0.35">
      <c r="B152" s="10" t="s">
        <v>80</v>
      </c>
      <c r="C152" s="13" t="s">
        <v>31</v>
      </c>
      <c r="D152" s="30">
        <v>42888</v>
      </c>
      <c r="E152" s="13">
        <v>1</v>
      </c>
      <c r="F152" s="13">
        <v>1</v>
      </c>
      <c r="G152" s="13">
        <v>0</v>
      </c>
      <c r="H152" s="13">
        <v>0</v>
      </c>
      <c r="I152" s="13">
        <v>0</v>
      </c>
      <c r="J152" s="13">
        <v>0</v>
      </c>
      <c r="K152" s="56">
        <v>42904</v>
      </c>
      <c r="L152" s="32">
        <v>332</v>
      </c>
      <c r="M152" s="145">
        <f t="shared" si="4"/>
        <v>16</v>
      </c>
      <c r="N152" s="145">
        <f t="shared" si="5"/>
        <v>1</v>
      </c>
    </row>
    <row r="153" spans="2:14" x14ac:dyDescent="0.35">
      <c r="B153" s="10" t="s">
        <v>668</v>
      </c>
      <c r="C153" s="13" t="s">
        <v>31</v>
      </c>
      <c r="D153" s="30">
        <v>42855</v>
      </c>
      <c r="E153" s="13">
        <v>1</v>
      </c>
      <c r="F153" s="13">
        <v>1</v>
      </c>
      <c r="G153" s="13">
        <v>0</v>
      </c>
      <c r="H153" s="13">
        <v>0</v>
      </c>
      <c r="I153" s="13">
        <v>0</v>
      </c>
      <c r="J153" s="13">
        <v>0</v>
      </c>
      <c r="K153" s="56">
        <v>42869</v>
      </c>
      <c r="L153" s="32">
        <v>332</v>
      </c>
      <c r="M153" s="145">
        <f t="shared" si="4"/>
        <v>14</v>
      </c>
      <c r="N153" s="145">
        <f t="shared" si="5"/>
        <v>1</v>
      </c>
    </row>
    <row r="154" spans="2:14" x14ac:dyDescent="0.35">
      <c r="B154" s="10" t="s">
        <v>618</v>
      </c>
      <c r="C154" s="13" t="s">
        <v>20</v>
      </c>
      <c r="D154" s="30">
        <v>42831</v>
      </c>
      <c r="E154" s="13">
        <v>1</v>
      </c>
      <c r="F154" s="13">
        <v>1</v>
      </c>
      <c r="G154" s="13">
        <v>0</v>
      </c>
      <c r="H154" s="13">
        <v>0</v>
      </c>
      <c r="I154" s="13">
        <v>0</v>
      </c>
      <c r="J154" s="13">
        <v>0</v>
      </c>
      <c r="K154" s="56">
        <v>42844</v>
      </c>
      <c r="L154" s="32">
        <v>330</v>
      </c>
      <c r="M154" s="145">
        <f t="shared" si="4"/>
        <v>13</v>
      </c>
      <c r="N154" s="145">
        <f t="shared" si="5"/>
        <v>1</v>
      </c>
    </row>
    <row r="155" spans="2:14" x14ac:dyDescent="0.35">
      <c r="B155" s="10" t="s">
        <v>162</v>
      </c>
      <c r="C155" s="13" t="s">
        <v>20</v>
      </c>
      <c r="D155" s="30">
        <v>42828</v>
      </c>
      <c r="E155" s="13">
        <v>1</v>
      </c>
      <c r="F155" s="13">
        <v>0</v>
      </c>
      <c r="G155" s="13">
        <v>1</v>
      </c>
      <c r="H155" s="13">
        <v>1</v>
      </c>
      <c r="I155" s="13">
        <v>0</v>
      </c>
      <c r="J155" s="13">
        <v>0</v>
      </c>
      <c r="K155" s="56">
        <v>42874</v>
      </c>
      <c r="L155" s="32">
        <v>330</v>
      </c>
      <c r="M155" s="145">
        <f t="shared" si="4"/>
        <v>46</v>
      </c>
      <c r="N155" s="145">
        <f t="shared" si="5"/>
        <v>2</v>
      </c>
    </row>
    <row r="156" spans="2:14" x14ac:dyDescent="0.35">
      <c r="B156" s="10" t="s">
        <v>451</v>
      </c>
      <c r="C156" s="13" t="s">
        <v>31</v>
      </c>
      <c r="D156" s="30">
        <v>42896</v>
      </c>
      <c r="E156" s="13">
        <v>1</v>
      </c>
      <c r="F156" s="13">
        <v>0</v>
      </c>
      <c r="G156" s="13">
        <v>1</v>
      </c>
      <c r="H156" s="13">
        <v>1</v>
      </c>
      <c r="I156" s="13">
        <v>0</v>
      </c>
      <c r="J156" s="13">
        <v>0</v>
      </c>
      <c r="K156" s="56">
        <v>42944</v>
      </c>
      <c r="L156" s="32">
        <v>329</v>
      </c>
      <c r="M156" s="145">
        <f t="shared" si="4"/>
        <v>48</v>
      </c>
      <c r="N156" s="145">
        <f t="shared" si="5"/>
        <v>2</v>
      </c>
    </row>
    <row r="157" spans="2:14" x14ac:dyDescent="0.35">
      <c r="B157" s="10" t="s">
        <v>229</v>
      </c>
      <c r="C157" s="13" t="s">
        <v>20</v>
      </c>
      <c r="D157" s="30">
        <v>42866</v>
      </c>
      <c r="E157" s="13">
        <v>1</v>
      </c>
      <c r="F157" s="13">
        <v>1</v>
      </c>
      <c r="G157" s="13">
        <v>0</v>
      </c>
      <c r="H157" s="13">
        <v>0</v>
      </c>
      <c r="I157" s="13">
        <v>0</v>
      </c>
      <c r="J157" s="13">
        <v>0</v>
      </c>
      <c r="K157" s="56">
        <v>42867</v>
      </c>
      <c r="L157" s="32">
        <v>327</v>
      </c>
      <c r="M157" s="145">
        <f t="shared" si="4"/>
        <v>1</v>
      </c>
      <c r="N157" s="145">
        <f t="shared" si="5"/>
        <v>1</v>
      </c>
    </row>
    <row r="158" spans="2:14" x14ac:dyDescent="0.35">
      <c r="B158" s="10" t="s">
        <v>519</v>
      </c>
      <c r="C158" s="13" t="s">
        <v>31</v>
      </c>
      <c r="D158" s="30">
        <v>42828</v>
      </c>
      <c r="E158" s="13">
        <v>1</v>
      </c>
      <c r="F158" s="13">
        <v>0</v>
      </c>
      <c r="G158" s="13">
        <v>1</v>
      </c>
      <c r="H158" s="13">
        <v>1</v>
      </c>
      <c r="I158" s="13">
        <v>0</v>
      </c>
      <c r="J158" s="13">
        <v>0</v>
      </c>
      <c r="K158" s="56">
        <v>42872</v>
      </c>
      <c r="L158" s="32">
        <v>326</v>
      </c>
      <c r="M158" s="145">
        <f t="shared" si="4"/>
        <v>44</v>
      </c>
      <c r="N158" s="145">
        <f t="shared" si="5"/>
        <v>2</v>
      </c>
    </row>
    <row r="159" spans="2:14" x14ac:dyDescent="0.35">
      <c r="B159" s="10" t="s">
        <v>261</v>
      </c>
      <c r="C159" s="13" t="s">
        <v>31</v>
      </c>
      <c r="D159" s="30">
        <v>42841</v>
      </c>
      <c r="E159" s="13">
        <v>1</v>
      </c>
      <c r="F159" s="13">
        <v>1</v>
      </c>
      <c r="G159" s="13">
        <v>0</v>
      </c>
      <c r="H159" s="13">
        <v>0</v>
      </c>
      <c r="I159" s="13">
        <v>0</v>
      </c>
      <c r="J159" s="13">
        <v>0</v>
      </c>
      <c r="K159" s="56">
        <v>42859</v>
      </c>
      <c r="L159" s="32">
        <v>325</v>
      </c>
      <c r="M159" s="145">
        <f t="shared" si="4"/>
        <v>18</v>
      </c>
      <c r="N159" s="145">
        <f t="shared" si="5"/>
        <v>1</v>
      </c>
    </row>
    <row r="160" spans="2:14" x14ac:dyDescent="0.35">
      <c r="B160" s="10" t="s">
        <v>97</v>
      </c>
      <c r="C160" s="13" t="s">
        <v>31</v>
      </c>
      <c r="D160" s="30">
        <v>42891</v>
      </c>
      <c r="E160" s="13">
        <v>1</v>
      </c>
      <c r="F160" s="13">
        <v>1</v>
      </c>
      <c r="G160" s="13">
        <v>0</v>
      </c>
      <c r="H160" s="13">
        <v>0</v>
      </c>
      <c r="I160" s="13">
        <v>0</v>
      </c>
      <c r="J160" s="13">
        <v>0</v>
      </c>
      <c r="K160" s="56">
        <v>42908</v>
      </c>
      <c r="L160" s="32">
        <v>325</v>
      </c>
      <c r="M160" s="145">
        <f t="shared" si="4"/>
        <v>17</v>
      </c>
      <c r="N160" s="145">
        <f t="shared" si="5"/>
        <v>1</v>
      </c>
    </row>
    <row r="161" spans="2:14" x14ac:dyDescent="0.35">
      <c r="B161" s="10" t="s">
        <v>166</v>
      </c>
      <c r="C161" s="13" t="s">
        <v>20</v>
      </c>
      <c r="D161" s="30">
        <v>42898</v>
      </c>
      <c r="E161" s="13">
        <v>1</v>
      </c>
      <c r="F161" s="13">
        <v>1</v>
      </c>
      <c r="G161" s="13">
        <v>0</v>
      </c>
      <c r="H161" s="13">
        <v>0</v>
      </c>
      <c r="I161" s="13">
        <v>0</v>
      </c>
      <c r="J161" s="13">
        <v>0</v>
      </c>
      <c r="K161" s="56">
        <v>42910</v>
      </c>
      <c r="L161" s="32">
        <v>324</v>
      </c>
      <c r="M161" s="145">
        <f t="shared" si="4"/>
        <v>12</v>
      </c>
      <c r="N161" s="145">
        <f t="shared" si="5"/>
        <v>1</v>
      </c>
    </row>
    <row r="162" spans="2:14" x14ac:dyDescent="0.35">
      <c r="B162" s="10" t="s">
        <v>392</v>
      </c>
      <c r="C162" s="13" t="s">
        <v>31</v>
      </c>
      <c r="D162" s="30">
        <v>42844</v>
      </c>
      <c r="E162" s="13">
        <v>1</v>
      </c>
      <c r="F162" s="13">
        <v>0</v>
      </c>
      <c r="G162" s="13">
        <v>1</v>
      </c>
      <c r="H162" s="13">
        <v>1</v>
      </c>
      <c r="I162" s="13">
        <v>0</v>
      </c>
      <c r="J162" s="13">
        <v>0</v>
      </c>
      <c r="K162" s="56">
        <v>42889</v>
      </c>
      <c r="L162" s="32">
        <v>324</v>
      </c>
      <c r="M162" s="145">
        <f t="shared" si="4"/>
        <v>45</v>
      </c>
      <c r="N162" s="145">
        <f t="shared" si="5"/>
        <v>2</v>
      </c>
    </row>
    <row r="163" spans="2:14" x14ac:dyDescent="0.35">
      <c r="B163" s="10" t="s">
        <v>561</v>
      </c>
      <c r="C163" s="13" t="s">
        <v>31</v>
      </c>
      <c r="D163" s="30">
        <v>42829</v>
      </c>
      <c r="E163" s="13">
        <v>1</v>
      </c>
      <c r="F163" s="13">
        <v>0</v>
      </c>
      <c r="G163" s="13">
        <v>1</v>
      </c>
      <c r="H163" s="13">
        <v>1</v>
      </c>
      <c r="I163" s="13">
        <v>0</v>
      </c>
      <c r="J163" s="13">
        <v>0</v>
      </c>
      <c r="K163" s="56">
        <v>42863</v>
      </c>
      <c r="L163" s="32">
        <v>323</v>
      </c>
      <c r="M163" s="145">
        <f t="shared" si="4"/>
        <v>34</v>
      </c>
      <c r="N163" s="145">
        <f t="shared" si="5"/>
        <v>2</v>
      </c>
    </row>
    <row r="164" spans="2:14" x14ac:dyDescent="0.35">
      <c r="B164" s="10" t="s">
        <v>674</v>
      </c>
      <c r="C164" s="13" t="s">
        <v>20</v>
      </c>
      <c r="D164" s="30">
        <v>42845</v>
      </c>
      <c r="E164" s="13">
        <v>1</v>
      </c>
      <c r="F164" s="13">
        <v>1</v>
      </c>
      <c r="G164" s="13">
        <v>0</v>
      </c>
      <c r="H164" s="13">
        <v>0</v>
      </c>
      <c r="I164" s="13">
        <v>0</v>
      </c>
      <c r="J164" s="13">
        <v>0</v>
      </c>
      <c r="K164" s="56">
        <v>42850</v>
      </c>
      <c r="L164" s="32">
        <v>323</v>
      </c>
      <c r="M164" s="145">
        <f t="shared" si="4"/>
        <v>5</v>
      </c>
      <c r="N164" s="145">
        <f t="shared" si="5"/>
        <v>1</v>
      </c>
    </row>
    <row r="165" spans="2:14" x14ac:dyDescent="0.35">
      <c r="B165" s="10" t="s">
        <v>501</v>
      </c>
      <c r="C165" s="13" t="s">
        <v>20</v>
      </c>
      <c r="D165" s="30">
        <v>42832</v>
      </c>
      <c r="E165" s="13">
        <v>1</v>
      </c>
      <c r="F165" s="13">
        <v>1</v>
      </c>
      <c r="G165" s="13">
        <v>0</v>
      </c>
      <c r="H165" s="13">
        <v>0</v>
      </c>
      <c r="I165" s="13">
        <v>0</v>
      </c>
      <c r="J165" s="13">
        <v>0</v>
      </c>
      <c r="K165" s="56">
        <v>42833</v>
      </c>
      <c r="L165" s="32">
        <v>323</v>
      </c>
      <c r="M165" s="145">
        <f t="shared" si="4"/>
        <v>1</v>
      </c>
      <c r="N165" s="145">
        <f t="shared" si="5"/>
        <v>1</v>
      </c>
    </row>
    <row r="166" spans="2:14" x14ac:dyDescent="0.35">
      <c r="B166" s="10" t="s">
        <v>208</v>
      </c>
      <c r="C166" s="13" t="s">
        <v>31</v>
      </c>
      <c r="D166" s="30">
        <v>42889</v>
      </c>
      <c r="E166" s="13">
        <v>1</v>
      </c>
      <c r="F166" s="13">
        <v>1</v>
      </c>
      <c r="G166" s="13">
        <v>0</v>
      </c>
      <c r="H166" s="13">
        <v>0</v>
      </c>
      <c r="I166" s="13">
        <v>0</v>
      </c>
      <c r="J166" s="13">
        <v>0</v>
      </c>
      <c r="K166" s="56">
        <v>42891</v>
      </c>
      <c r="L166" s="32">
        <v>322</v>
      </c>
      <c r="M166" s="145">
        <f t="shared" si="4"/>
        <v>2</v>
      </c>
      <c r="N166" s="145">
        <f t="shared" si="5"/>
        <v>1</v>
      </c>
    </row>
    <row r="167" spans="2:14" x14ac:dyDescent="0.35">
      <c r="B167" s="10" t="s">
        <v>600</v>
      </c>
      <c r="C167" s="13" t="s">
        <v>20</v>
      </c>
      <c r="D167" s="30">
        <v>42879</v>
      </c>
      <c r="E167" s="13">
        <v>1</v>
      </c>
      <c r="F167" s="13">
        <v>1</v>
      </c>
      <c r="G167" s="13">
        <v>0</v>
      </c>
      <c r="H167" s="13">
        <v>0</v>
      </c>
      <c r="I167" s="13">
        <v>0</v>
      </c>
      <c r="J167" s="13">
        <v>0</v>
      </c>
      <c r="K167" s="56">
        <v>42883</v>
      </c>
      <c r="L167" s="32">
        <v>322</v>
      </c>
      <c r="M167" s="145">
        <f t="shared" si="4"/>
        <v>4</v>
      </c>
      <c r="N167" s="145">
        <f t="shared" si="5"/>
        <v>1</v>
      </c>
    </row>
    <row r="168" spans="2:14" x14ac:dyDescent="0.35">
      <c r="B168" s="10" t="s">
        <v>623</v>
      </c>
      <c r="C168" s="13" t="s">
        <v>20</v>
      </c>
      <c r="D168" s="30">
        <v>42890</v>
      </c>
      <c r="E168" s="13">
        <v>1</v>
      </c>
      <c r="F168" s="13">
        <v>1</v>
      </c>
      <c r="G168" s="13">
        <v>0</v>
      </c>
      <c r="H168" s="13">
        <v>0</v>
      </c>
      <c r="I168" s="13">
        <v>0</v>
      </c>
      <c r="J168" s="13">
        <v>0</v>
      </c>
      <c r="K168" s="56">
        <v>42893</v>
      </c>
      <c r="L168" s="32">
        <v>320</v>
      </c>
      <c r="M168" s="145">
        <f t="shared" si="4"/>
        <v>3</v>
      </c>
      <c r="N168" s="145">
        <f t="shared" si="5"/>
        <v>1</v>
      </c>
    </row>
    <row r="169" spans="2:14" x14ac:dyDescent="0.35">
      <c r="B169" s="10" t="s">
        <v>447</v>
      </c>
      <c r="C169" s="13" t="s">
        <v>20</v>
      </c>
      <c r="D169" s="30">
        <v>42901</v>
      </c>
      <c r="E169" s="13">
        <v>1</v>
      </c>
      <c r="F169" s="13">
        <v>0</v>
      </c>
      <c r="G169" s="13">
        <v>1</v>
      </c>
      <c r="H169" s="13">
        <v>1</v>
      </c>
      <c r="I169" s="13">
        <v>0</v>
      </c>
      <c r="J169" s="13">
        <v>0</v>
      </c>
      <c r="K169" s="56">
        <v>42939</v>
      </c>
      <c r="L169" s="32">
        <v>320</v>
      </c>
      <c r="M169" s="145">
        <f t="shared" si="4"/>
        <v>38</v>
      </c>
      <c r="N169" s="145">
        <f t="shared" si="5"/>
        <v>2</v>
      </c>
    </row>
    <row r="170" spans="2:14" x14ac:dyDescent="0.35">
      <c r="B170" s="10" t="s">
        <v>203</v>
      </c>
      <c r="C170" s="13" t="s">
        <v>20</v>
      </c>
      <c r="D170" s="30">
        <v>42845</v>
      </c>
      <c r="E170" s="13">
        <v>1</v>
      </c>
      <c r="F170" s="13">
        <v>0</v>
      </c>
      <c r="G170" s="13">
        <v>1</v>
      </c>
      <c r="H170" s="13">
        <v>0</v>
      </c>
      <c r="I170" s="13">
        <v>1</v>
      </c>
      <c r="J170" s="13">
        <v>1</v>
      </c>
      <c r="K170" s="56">
        <v>42909</v>
      </c>
      <c r="L170" s="32">
        <v>308</v>
      </c>
      <c r="M170" s="145">
        <f t="shared" si="4"/>
        <v>64</v>
      </c>
      <c r="N170" s="145">
        <f t="shared" si="5"/>
        <v>3</v>
      </c>
    </row>
    <row r="171" spans="2:14" x14ac:dyDescent="0.35">
      <c r="B171" s="10" t="s">
        <v>642</v>
      </c>
      <c r="C171" s="13" t="s">
        <v>20</v>
      </c>
      <c r="D171" s="30">
        <v>42901</v>
      </c>
      <c r="E171" s="13">
        <v>1</v>
      </c>
      <c r="F171" s="13">
        <v>1</v>
      </c>
      <c r="G171" s="13">
        <v>0</v>
      </c>
      <c r="H171" s="13">
        <v>0</v>
      </c>
      <c r="I171" s="13">
        <v>0</v>
      </c>
      <c r="J171" s="13">
        <v>0</v>
      </c>
      <c r="K171" s="56">
        <v>42903</v>
      </c>
      <c r="L171" s="32">
        <v>307</v>
      </c>
      <c r="M171" s="145">
        <f t="shared" si="4"/>
        <v>2</v>
      </c>
      <c r="N171" s="145">
        <f t="shared" si="5"/>
        <v>1</v>
      </c>
    </row>
    <row r="172" spans="2:14" x14ac:dyDescent="0.35">
      <c r="B172" s="10" t="s">
        <v>585</v>
      </c>
      <c r="C172" s="13" t="s">
        <v>31</v>
      </c>
      <c r="D172" s="30">
        <v>42842</v>
      </c>
      <c r="E172" s="13">
        <v>1</v>
      </c>
      <c r="F172" s="13">
        <v>0</v>
      </c>
      <c r="G172" s="13">
        <v>1</v>
      </c>
      <c r="H172" s="13">
        <v>0</v>
      </c>
      <c r="I172" s="13">
        <v>1</v>
      </c>
      <c r="J172" s="13">
        <v>1</v>
      </c>
      <c r="K172" s="56">
        <v>42912</v>
      </c>
      <c r="L172" s="32">
        <v>307</v>
      </c>
      <c r="M172" s="145">
        <f t="shared" si="4"/>
        <v>70</v>
      </c>
      <c r="N172" s="145">
        <f t="shared" si="5"/>
        <v>3</v>
      </c>
    </row>
    <row r="173" spans="2:14" x14ac:dyDescent="0.35">
      <c r="B173" s="10" t="s">
        <v>481</v>
      </c>
      <c r="C173" s="13" t="s">
        <v>20</v>
      </c>
      <c r="D173" s="30">
        <v>42899</v>
      </c>
      <c r="E173" s="13">
        <v>1</v>
      </c>
      <c r="F173" s="13">
        <v>1</v>
      </c>
      <c r="G173" s="13">
        <v>0</v>
      </c>
      <c r="H173" s="13">
        <v>0</v>
      </c>
      <c r="I173" s="13">
        <v>0</v>
      </c>
      <c r="J173" s="13">
        <v>0</v>
      </c>
      <c r="K173" s="56">
        <v>42917</v>
      </c>
      <c r="L173" s="32">
        <v>306</v>
      </c>
      <c r="M173" s="145">
        <f t="shared" si="4"/>
        <v>18</v>
      </c>
      <c r="N173" s="145">
        <f t="shared" si="5"/>
        <v>1</v>
      </c>
    </row>
    <row r="174" spans="2:14" x14ac:dyDescent="0.35">
      <c r="B174" s="10" t="s">
        <v>89</v>
      </c>
      <c r="C174" s="13" t="s">
        <v>31</v>
      </c>
      <c r="D174" s="30">
        <v>42863</v>
      </c>
      <c r="E174" s="13">
        <v>1</v>
      </c>
      <c r="F174" s="13">
        <v>1</v>
      </c>
      <c r="G174" s="13">
        <v>0</v>
      </c>
      <c r="H174" s="13">
        <v>0</v>
      </c>
      <c r="I174" s="13">
        <v>0</v>
      </c>
      <c r="J174" s="13">
        <v>0</v>
      </c>
      <c r="K174" s="56">
        <v>42879</v>
      </c>
      <c r="L174" s="32">
        <v>303</v>
      </c>
      <c r="M174" s="145">
        <f t="shared" si="4"/>
        <v>16</v>
      </c>
      <c r="N174" s="145">
        <f t="shared" si="5"/>
        <v>1</v>
      </c>
    </row>
    <row r="175" spans="2:14" x14ac:dyDescent="0.35">
      <c r="B175" s="10" t="s">
        <v>48</v>
      </c>
      <c r="C175" s="13" t="s">
        <v>20</v>
      </c>
      <c r="D175" s="30">
        <v>42850</v>
      </c>
      <c r="E175" s="13">
        <v>1</v>
      </c>
      <c r="F175" s="13">
        <v>1</v>
      </c>
      <c r="G175" s="13">
        <v>0</v>
      </c>
      <c r="H175" s="13">
        <v>0</v>
      </c>
      <c r="I175" s="13">
        <v>0</v>
      </c>
      <c r="J175" s="13">
        <v>0</v>
      </c>
      <c r="K175" s="56">
        <v>42873</v>
      </c>
      <c r="L175" s="32">
        <v>303</v>
      </c>
      <c r="M175" s="145">
        <f t="shared" si="4"/>
        <v>23</v>
      </c>
      <c r="N175" s="145">
        <f t="shared" si="5"/>
        <v>1</v>
      </c>
    </row>
    <row r="176" spans="2:14" x14ac:dyDescent="0.35">
      <c r="B176" s="10" t="s">
        <v>243</v>
      </c>
      <c r="C176" s="13" t="s">
        <v>20</v>
      </c>
      <c r="D176" s="30">
        <v>42892</v>
      </c>
      <c r="E176" s="13">
        <v>1</v>
      </c>
      <c r="F176" s="13">
        <v>1</v>
      </c>
      <c r="G176" s="13">
        <v>0</v>
      </c>
      <c r="H176" s="13">
        <v>0</v>
      </c>
      <c r="I176" s="13">
        <v>0</v>
      </c>
      <c r="J176" s="13">
        <v>0</v>
      </c>
      <c r="K176" s="56">
        <v>42908</v>
      </c>
      <c r="L176" s="32">
        <v>302</v>
      </c>
      <c r="M176" s="145">
        <f t="shared" si="4"/>
        <v>16</v>
      </c>
      <c r="N176" s="145">
        <f t="shared" si="5"/>
        <v>1</v>
      </c>
    </row>
    <row r="177" spans="2:14" x14ac:dyDescent="0.35">
      <c r="B177" s="10" t="s">
        <v>578</v>
      </c>
      <c r="C177" s="13" t="s">
        <v>20</v>
      </c>
      <c r="D177" s="30">
        <v>42872</v>
      </c>
      <c r="E177" s="13">
        <v>1</v>
      </c>
      <c r="F177" s="13">
        <v>0</v>
      </c>
      <c r="G177" s="13">
        <v>1</v>
      </c>
      <c r="H177" s="13">
        <v>0</v>
      </c>
      <c r="I177" s="13">
        <v>1</v>
      </c>
      <c r="J177" s="13">
        <v>1</v>
      </c>
      <c r="K177" s="56">
        <v>42935</v>
      </c>
      <c r="L177" s="32">
        <v>302</v>
      </c>
      <c r="M177" s="145">
        <f t="shared" si="4"/>
        <v>63</v>
      </c>
      <c r="N177" s="145">
        <f t="shared" si="5"/>
        <v>3</v>
      </c>
    </row>
    <row r="178" spans="2:14" x14ac:dyDescent="0.35">
      <c r="B178" s="10" t="s">
        <v>264</v>
      </c>
      <c r="C178" s="13" t="s">
        <v>20</v>
      </c>
      <c r="D178" s="30">
        <v>42837</v>
      </c>
      <c r="E178" s="13">
        <v>1</v>
      </c>
      <c r="F178" s="13">
        <v>0</v>
      </c>
      <c r="G178" s="13">
        <v>1</v>
      </c>
      <c r="H178" s="13">
        <v>1</v>
      </c>
      <c r="I178" s="13">
        <v>0</v>
      </c>
      <c r="J178" s="13">
        <v>0</v>
      </c>
      <c r="K178" s="56">
        <v>42877</v>
      </c>
      <c r="L178" s="32">
        <v>300</v>
      </c>
      <c r="M178" s="145">
        <f t="shared" si="4"/>
        <v>40</v>
      </c>
      <c r="N178" s="145">
        <f t="shared" si="5"/>
        <v>2</v>
      </c>
    </row>
    <row r="179" spans="2:14" x14ac:dyDescent="0.35">
      <c r="B179" s="10" t="s">
        <v>718</v>
      </c>
      <c r="C179" s="13" t="s">
        <v>20</v>
      </c>
      <c r="D179" s="30">
        <v>42916</v>
      </c>
      <c r="E179" s="13">
        <v>1</v>
      </c>
      <c r="F179" s="13">
        <v>0</v>
      </c>
      <c r="G179" s="13">
        <v>1</v>
      </c>
      <c r="H179" s="13">
        <v>0</v>
      </c>
      <c r="I179" s="13">
        <v>1</v>
      </c>
      <c r="J179" s="13">
        <v>1</v>
      </c>
      <c r="K179" s="56">
        <v>42978</v>
      </c>
      <c r="L179" s="32">
        <v>299</v>
      </c>
      <c r="M179" s="145">
        <f t="shared" si="4"/>
        <v>62</v>
      </c>
      <c r="N179" s="145">
        <f t="shared" si="5"/>
        <v>3</v>
      </c>
    </row>
    <row r="180" spans="2:14" x14ac:dyDescent="0.35">
      <c r="B180" s="10" t="s">
        <v>704</v>
      </c>
      <c r="C180" s="13" t="s">
        <v>31</v>
      </c>
      <c r="D180" s="30">
        <v>42860</v>
      </c>
      <c r="E180" s="13">
        <v>1</v>
      </c>
      <c r="F180" s="13">
        <v>0</v>
      </c>
      <c r="G180" s="13">
        <v>1</v>
      </c>
      <c r="H180" s="13">
        <v>1</v>
      </c>
      <c r="I180" s="13">
        <v>0</v>
      </c>
      <c r="J180" s="13">
        <v>0</v>
      </c>
      <c r="K180" s="56">
        <v>42895</v>
      </c>
      <c r="L180" s="32">
        <v>298</v>
      </c>
      <c r="M180" s="145">
        <f t="shared" si="4"/>
        <v>35</v>
      </c>
      <c r="N180" s="145">
        <f t="shared" si="5"/>
        <v>2</v>
      </c>
    </row>
    <row r="181" spans="2:14" x14ac:dyDescent="0.35">
      <c r="B181" s="10" t="s">
        <v>119</v>
      </c>
      <c r="C181" s="13" t="s">
        <v>31</v>
      </c>
      <c r="D181" s="30">
        <v>42914</v>
      </c>
      <c r="E181" s="13">
        <v>1</v>
      </c>
      <c r="F181" s="13">
        <v>0</v>
      </c>
      <c r="G181" s="13">
        <v>1</v>
      </c>
      <c r="H181" s="13">
        <v>1</v>
      </c>
      <c r="I181" s="13">
        <v>0</v>
      </c>
      <c r="J181" s="13">
        <v>0</v>
      </c>
      <c r="K181" s="56">
        <v>42966</v>
      </c>
      <c r="L181" s="32">
        <v>298</v>
      </c>
      <c r="M181" s="145">
        <f t="shared" si="4"/>
        <v>52</v>
      </c>
      <c r="N181" s="145">
        <f t="shared" si="5"/>
        <v>2</v>
      </c>
    </row>
    <row r="182" spans="2:14" x14ac:dyDescent="0.35">
      <c r="B182" s="10" t="s">
        <v>228</v>
      </c>
      <c r="C182" s="13" t="s">
        <v>20</v>
      </c>
      <c r="D182" s="30">
        <v>42891</v>
      </c>
      <c r="E182" s="13">
        <v>1</v>
      </c>
      <c r="F182" s="13">
        <v>0</v>
      </c>
      <c r="G182" s="13">
        <v>1</v>
      </c>
      <c r="H182" s="13">
        <v>1</v>
      </c>
      <c r="I182" s="13">
        <v>0</v>
      </c>
      <c r="J182" s="13">
        <v>0</v>
      </c>
      <c r="K182" s="56">
        <v>42945</v>
      </c>
      <c r="L182" s="32">
        <v>298</v>
      </c>
      <c r="M182" s="145">
        <f t="shared" si="4"/>
        <v>54</v>
      </c>
      <c r="N182" s="145">
        <f t="shared" si="5"/>
        <v>2</v>
      </c>
    </row>
    <row r="183" spans="2:14" x14ac:dyDescent="0.35">
      <c r="B183" s="10" t="s">
        <v>118</v>
      </c>
      <c r="C183" s="13" t="s">
        <v>20</v>
      </c>
      <c r="D183" s="30">
        <v>42882</v>
      </c>
      <c r="E183" s="13">
        <v>1</v>
      </c>
      <c r="F183" s="13">
        <v>0</v>
      </c>
      <c r="G183" s="13">
        <v>1</v>
      </c>
      <c r="H183" s="13">
        <v>0</v>
      </c>
      <c r="I183" s="13">
        <v>1</v>
      </c>
      <c r="J183" s="13">
        <v>1</v>
      </c>
      <c r="K183" s="56">
        <v>42952</v>
      </c>
      <c r="L183" s="32">
        <v>298</v>
      </c>
      <c r="M183" s="145">
        <f t="shared" si="4"/>
        <v>70</v>
      </c>
      <c r="N183" s="145">
        <f t="shared" si="5"/>
        <v>3</v>
      </c>
    </row>
    <row r="184" spans="2:14" x14ac:dyDescent="0.35">
      <c r="B184" s="10" t="s">
        <v>580</v>
      </c>
      <c r="C184" s="13" t="s">
        <v>31</v>
      </c>
      <c r="D184" s="30">
        <v>42854</v>
      </c>
      <c r="E184" s="13">
        <v>1</v>
      </c>
      <c r="F184" s="13">
        <v>1</v>
      </c>
      <c r="G184" s="13">
        <v>0</v>
      </c>
      <c r="H184" s="13">
        <v>0</v>
      </c>
      <c r="I184" s="13">
        <v>0</v>
      </c>
      <c r="J184" s="13">
        <v>0</v>
      </c>
      <c r="K184" s="56">
        <v>42858</v>
      </c>
      <c r="L184" s="32">
        <v>297</v>
      </c>
      <c r="M184" s="145">
        <f t="shared" si="4"/>
        <v>4</v>
      </c>
      <c r="N184" s="145">
        <f t="shared" si="5"/>
        <v>1</v>
      </c>
    </row>
    <row r="185" spans="2:14" x14ac:dyDescent="0.35">
      <c r="B185" s="10" t="s">
        <v>640</v>
      </c>
      <c r="C185" s="13" t="s">
        <v>31</v>
      </c>
      <c r="D185" s="30">
        <v>42852</v>
      </c>
      <c r="E185" s="13">
        <v>1</v>
      </c>
      <c r="F185" s="13">
        <v>1</v>
      </c>
      <c r="G185" s="13">
        <v>0</v>
      </c>
      <c r="H185" s="13">
        <v>0</v>
      </c>
      <c r="I185" s="13">
        <v>0</v>
      </c>
      <c r="J185" s="13">
        <v>0</v>
      </c>
      <c r="K185" s="56">
        <v>42869</v>
      </c>
      <c r="L185" s="32">
        <v>297</v>
      </c>
      <c r="M185" s="145">
        <f t="shared" si="4"/>
        <v>17</v>
      </c>
      <c r="N185" s="145">
        <f t="shared" si="5"/>
        <v>1</v>
      </c>
    </row>
    <row r="186" spans="2:14" x14ac:dyDescent="0.35">
      <c r="B186" s="10" t="s">
        <v>436</v>
      </c>
      <c r="C186" s="13" t="s">
        <v>31</v>
      </c>
      <c r="D186" s="30">
        <v>42896</v>
      </c>
      <c r="E186" s="13">
        <v>1</v>
      </c>
      <c r="F186" s="13">
        <v>0</v>
      </c>
      <c r="G186" s="13">
        <v>1</v>
      </c>
      <c r="H186" s="13">
        <v>1</v>
      </c>
      <c r="I186" s="13">
        <v>0</v>
      </c>
      <c r="J186" s="13">
        <v>0</v>
      </c>
      <c r="K186" s="56">
        <v>42949</v>
      </c>
      <c r="L186" s="32">
        <v>297</v>
      </c>
      <c r="M186" s="145">
        <f t="shared" si="4"/>
        <v>53</v>
      </c>
      <c r="N186" s="145">
        <f t="shared" si="5"/>
        <v>2</v>
      </c>
    </row>
    <row r="187" spans="2:14" x14ac:dyDescent="0.35">
      <c r="B187" s="10" t="s">
        <v>188</v>
      </c>
      <c r="C187" s="13" t="s">
        <v>20</v>
      </c>
      <c r="D187" s="30">
        <v>42836</v>
      </c>
      <c r="E187" s="13">
        <v>1</v>
      </c>
      <c r="F187" s="13">
        <v>1</v>
      </c>
      <c r="G187" s="13">
        <v>0</v>
      </c>
      <c r="H187" s="13">
        <v>0</v>
      </c>
      <c r="I187" s="13">
        <v>0</v>
      </c>
      <c r="J187" s="13">
        <v>0</v>
      </c>
      <c r="K187" s="56">
        <v>42839</v>
      </c>
      <c r="L187" s="32">
        <v>295</v>
      </c>
      <c r="M187" s="145">
        <f t="shared" si="4"/>
        <v>3</v>
      </c>
      <c r="N187" s="145">
        <f t="shared" si="5"/>
        <v>1</v>
      </c>
    </row>
    <row r="188" spans="2:14" x14ac:dyDescent="0.35">
      <c r="B188" s="10" t="s">
        <v>116</v>
      </c>
      <c r="C188" s="13" t="s">
        <v>20</v>
      </c>
      <c r="D188" s="30">
        <v>42848</v>
      </c>
      <c r="E188" s="13">
        <v>1</v>
      </c>
      <c r="F188" s="13">
        <v>0</v>
      </c>
      <c r="G188" s="13">
        <v>1</v>
      </c>
      <c r="H188" s="13">
        <v>1</v>
      </c>
      <c r="I188" s="13">
        <v>0</v>
      </c>
      <c r="J188" s="13">
        <v>0</v>
      </c>
      <c r="K188" s="56">
        <v>42889</v>
      </c>
      <c r="L188" s="32">
        <v>295</v>
      </c>
      <c r="M188" s="145">
        <f t="shared" si="4"/>
        <v>41</v>
      </c>
      <c r="N188" s="145">
        <f t="shared" si="5"/>
        <v>2</v>
      </c>
    </row>
    <row r="189" spans="2:14" x14ac:dyDescent="0.35">
      <c r="B189" s="10" t="s">
        <v>202</v>
      </c>
      <c r="C189" s="13" t="s">
        <v>31</v>
      </c>
      <c r="D189" s="30">
        <v>42914</v>
      </c>
      <c r="E189" s="13">
        <v>1</v>
      </c>
      <c r="F189" s="13">
        <v>1</v>
      </c>
      <c r="G189" s="13">
        <v>0</v>
      </c>
      <c r="H189" s="13">
        <v>0</v>
      </c>
      <c r="I189" s="13">
        <v>0</v>
      </c>
      <c r="J189" s="13">
        <v>0</v>
      </c>
      <c r="K189" s="56">
        <v>42926</v>
      </c>
      <c r="L189" s="32">
        <v>295</v>
      </c>
      <c r="M189" s="145">
        <f t="shared" si="4"/>
        <v>12</v>
      </c>
      <c r="N189" s="145">
        <f t="shared" si="5"/>
        <v>1</v>
      </c>
    </row>
    <row r="190" spans="2:14" x14ac:dyDescent="0.35">
      <c r="B190" s="10" t="s">
        <v>143</v>
      </c>
      <c r="C190" s="13" t="s">
        <v>31</v>
      </c>
      <c r="D190" s="30">
        <v>42868</v>
      </c>
      <c r="E190" s="13">
        <v>1</v>
      </c>
      <c r="F190" s="13">
        <v>0</v>
      </c>
      <c r="G190" s="13">
        <v>1</v>
      </c>
      <c r="H190" s="13">
        <v>1</v>
      </c>
      <c r="I190" s="13">
        <v>0</v>
      </c>
      <c r="J190" s="13">
        <v>0</v>
      </c>
      <c r="K190" s="56">
        <v>42911</v>
      </c>
      <c r="L190" s="32">
        <v>294</v>
      </c>
      <c r="M190" s="145">
        <f t="shared" si="4"/>
        <v>43</v>
      </c>
      <c r="N190" s="145">
        <f t="shared" si="5"/>
        <v>2</v>
      </c>
    </row>
    <row r="191" spans="2:14" x14ac:dyDescent="0.35">
      <c r="B191" s="10" t="s">
        <v>530</v>
      </c>
      <c r="C191" s="13" t="s">
        <v>20</v>
      </c>
      <c r="D191" s="30">
        <v>42834</v>
      </c>
      <c r="E191" s="13">
        <v>1</v>
      </c>
      <c r="F191" s="13">
        <v>1</v>
      </c>
      <c r="G191" s="13">
        <v>0</v>
      </c>
      <c r="H191" s="13">
        <v>0</v>
      </c>
      <c r="I191" s="13">
        <v>0</v>
      </c>
      <c r="J191" s="13">
        <v>0</v>
      </c>
      <c r="K191" s="56">
        <v>42854</v>
      </c>
      <c r="L191" s="32">
        <v>293</v>
      </c>
      <c r="M191" s="145">
        <f t="shared" si="4"/>
        <v>20</v>
      </c>
      <c r="N191" s="145">
        <f t="shared" si="5"/>
        <v>1</v>
      </c>
    </row>
    <row r="192" spans="2:14" x14ac:dyDescent="0.35">
      <c r="B192" s="10" t="s">
        <v>117</v>
      </c>
      <c r="C192" s="13" t="s">
        <v>31</v>
      </c>
      <c r="D192" s="30">
        <v>42909</v>
      </c>
      <c r="E192" s="13">
        <v>1</v>
      </c>
      <c r="F192" s="13">
        <v>1</v>
      </c>
      <c r="G192" s="13">
        <v>0</v>
      </c>
      <c r="H192" s="13">
        <v>0</v>
      </c>
      <c r="I192" s="13">
        <v>0</v>
      </c>
      <c r="J192" s="13">
        <v>0</v>
      </c>
      <c r="K192" s="56">
        <v>42930</v>
      </c>
      <c r="L192" s="32">
        <v>292</v>
      </c>
      <c r="M192" s="145">
        <f t="shared" si="4"/>
        <v>21</v>
      </c>
      <c r="N192" s="145">
        <f t="shared" si="5"/>
        <v>1</v>
      </c>
    </row>
    <row r="193" spans="2:14" x14ac:dyDescent="0.35">
      <c r="B193" s="10" t="s">
        <v>413</v>
      </c>
      <c r="C193" s="13" t="s">
        <v>31</v>
      </c>
      <c r="D193" s="30">
        <v>42864</v>
      </c>
      <c r="E193" s="13">
        <v>1</v>
      </c>
      <c r="F193" s="13">
        <v>0</v>
      </c>
      <c r="G193" s="13">
        <v>1</v>
      </c>
      <c r="H193" s="13">
        <v>1</v>
      </c>
      <c r="I193" s="13">
        <v>0</v>
      </c>
      <c r="J193" s="13">
        <v>0</v>
      </c>
      <c r="K193" s="56">
        <v>42894</v>
      </c>
      <c r="L193" s="32">
        <v>292</v>
      </c>
      <c r="M193" s="145">
        <f t="shared" si="4"/>
        <v>30</v>
      </c>
      <c r="N193" s="145">
        <f t="shared" si="5"/>
        <v>2</v>
      </c>
    </row>
    <row r="194" spans="2:14" x14ac:dyDescent="0.35">
      <c r="B194" s="10" t="s">
        <v>710</v>
      </c>
      <c r="C194" s="13" t="s">
        <v>31</v>
      </c>
      <c r="D194" s="30">
        <v>42846</v>
      </c>
      <c r="E194" s="13">
        <v>1</v>
      </c>
      <c r="F194" s="13">
        <v>0</v>
      </c>
      <c r="G194" s="13">
        <v>1</v>
      </c>
      <c r="H194" s="13">
        <v>1</v>
      </c>
      <c r="I194" s="13">
        <v>0</v>
      </c>
      <c r="J194" s="13">
        <v>0</v>
      </c>
      <c r="K194" s="56">
        <v>42901</v>
      </c>
      <c r="L194" s="32">
        <v>291</v>
      </c>
      <c r="M194" s="145">
        <f t="shared" si="4"/>
        <v>55</v>
      </c>
      <c r="N194" s="145">
        <f t="shared" si="5"/>
        <v>2</v>
      </c>
    </row>
    <row r="195" spans="2:14" x14ac:dyDescent="0.35">
      <c r="B195" s="10" t="s">
        <v>391</v>
      </c>
      <c r="C195" s="13" t="s">
        <v>31</v>
      </c>
      <c r="D195" s="30">
        <v>42854</v>
      </c>
      <c r="E195" s="13">
        <v>1</v>
      </c>
      <c r="F195" s="13">
        <v>0</v>
      </c>
      <c r="G195" s="13">
        <v>1</v>
      </c>
      <c r="H195" s="13">
        <v>0</v>
      </c>
      <c r="I195" s="13">
        <v>1</v>
      </c>
      <c r="J195" s="13">
        <v>1</v>
      </c>
      <c r="K195" s="56">
        <v>42919</v>
      </c>
      <c r="L195" s="32">
        <v>291</v>
      </c>
      <c r="M195" s="145">
        <f t="shared" si="4"/>
        <v>65</v>
      </c>
      <c r="N195" s="145">
        <f t="shared" si="5"/>
        <v>3</v>
      </c>
    </row>
    <row r="196" spans="2:14" x14ac:dyDescent="0.35">
      <c r="B196" s="10" t="s">
        <v>567</v>
      </c>
      <c r="C196" s="13" t="s">
        <v>20</v>
      </c>
      <c r="D196" s="30">
        <v>42916</v>
      </c>
      <c r="E196" s="13">
        <v>1</v>
      </c>
      <c r="F196" s="13">
        <v>1</v>
      </c>
      <c r="G196" s="13">
        <v>0</v>
      </c>
      <c r="H196" s="13">
        <v>0</v>
      </c>
      <c r="I196" s="13">
        <v>0</v>
      </c>
      <c r="J196" s="13">
        <v>0</v>
      </c>
      <c r="K196" s="56">
        <v>42927</v>
      </c>
      <c r="L196" s="32">
        <v>290</v>
      </c>
      <c r="M196" s="145">
        <f t="shared" si="4"/>
        <v>11</v>
      </c>
      <c r="N196" s="145">
        <f t="shared" si="5"/>
        <v>1</v>
      </c>
    </row>
    <row r="197" spans="2:14" x14ac:dyDescent="0.35">
      <c r="B197" s="10" t="s">
        <v>283</v>
      </c>
      <c r="C197" s="13" t="s">
        <v>20</v>
      </c>
      <c r="D197" s="30">
        <v>42877</v>
      </c>
      <c r="E197" s="13">
        <v>1</v>
      </c>
      <c r="F197" s="13">
        <v>0</v>
      </c>
      <c r="G197" s="13">
        <v>1</v>
      </c>
      <c r="H197" s="13">
        <v>0</v>
      </c>
      <c r="I197" s="13">
        <v>1</v>
      </c>
      <c r="J197" s="13">
        <v>1</v>
      </c>
      <c r="K197" s="56">
        <v>42939</v>
      </c>
      <c r="L197" s="32">
        <v>290</v>
      </c>
      <c r="M197" s="145">
        <f t="shared" si="4"/>
        <v>62</v>
      </c>
      <c r="N197" s="145">
        <f t="shared" si="5"/>
        <v>3</v>
      </c>
    </row>
    <row r="198" spans="2:14" x14ac:dyDescent="0.35">
      <c r="B198" s="10" t="s">
        <v>122</v>
      </c>
      <c r="C198" s="13" t="s">
        <v>31</v>
      </c>
      <c r="D198" s="30">
        <v>42848</v>
      </c>
      <c r="E198" s="13">
        <v>1</v>
      </c>
      <c r="F198" s="13">
        <v>0</v>
      </c>
      <c r="G198" s="13">
        <v>1</v>
      </c>
      <c r="H198" s="13">
        <v>1</v>
      </c>
      <c r="I198" s="13">
        <v>0</v>
      </c>
      <c r="J198" s="13">
        <v>0</v>
      </c>
      <c r="K198" s="56">
        <v>42878</v>
      </c>
      <c r="L198" s="32">
        <v>289</v>
      </c>
      <c r="M198" s="145">
        <f t="shared" si="4"/>
        <v>30</v>
      </c>
      <c r="N198" s="145">
        <f t="shared" si="5"/>
        <v>2</v>
      </c>
    </row>
    <row r="199" spans="2:14" x14ac:dyDescent="0.35">
      <c r="B199" s="10" t="s">
        <v>711</v>
      </c>
      <c r="C199" s="13" t="s">
        <v>20</v>
      </c>
      <c r="D199" s="30">
        <v>42892</v>
      </c>
      <c r="E199" s="13">
        <v>1</v>
      </c>
      <c r="F199" s="13">
        <v>0</v>
      </c>
      <c r="G199" s="13">
        <v>1</v>
      </c>
      <c r="H199" s="13">
        <v>0</v>
      </c>
      <c r="I199" s="13">
        <v>1</v>
      </c>
      <c r="J199" s="13">
        <v>1</v>
      </c>
      <c r="K199" s="56">
        <v>42954</v>
      </c>
      <c r="L199" s="32">
        <v>289</v>
      </c>
      <c r="M199" s="145">
        <f t="shared" ref="M199:M262" si="6">IF(K199="", "", K199-D199)</f>
        <v>62</v>
      </c>
      <c r="N199" s="145">
        <f t="shared" ref="N199:N262" si="7">IF(F199=1,1, IF(H199=1,2, IF(J199=1,3, "")))</f>
        <v>3</v>
      </c>
    </row>
    <row r="200" spans="2:14" x14ac:dyDescent="0.35">
      <c r="B200" s="10" t="s">
        <v>303</v>
      </c>
      <c r="C200" s="13" t="s">
        <v>20</v>
      </c>
      <c r="D200" s="30">
        <v>42840</v>
      </c>
      <c r="E200" s="13">
        <v>1</v>
      </c>
      <c r="F200" s="13">
        <v>0</v>
      </c>
      <c r="G200" s="13">
        <v>1</v>
      </c>
      <c r="H200" s="13">
        <v>1</v>
      </c>
      <c r="I200" s="13">
        <v>0</v>
      </c>
      <c r="J200" s="13">
        <v>0</v>
      </c>
      <c r="K200" s="56">
        <v>42893</v>
      </c>
      <c r="L200" s="32">
        <v>288</v>
      </c>
      <c r="M200" s="145">
        <f t="shared" si="6"/>
        <v>53</v>
      </c>
      <c r="N200" s="145">
        <f t="shared" si="7"/>
        <v>2</v>
      </c>
    </row>
    <row r="201" spans="2:14" x14ac:dyDescent="0.35">
      <c r="B201" s="10" t="s">
        <v>592</v>
      </c>
      <c r="C201" s="13" t="s">
        <v>20</v>
      </c>
      <c r="D201" s="30">
        <v>42830</v>
      </c>
      <c r="E201" s="13">
        <v>1</v>
      </c>
      <c r="F201" s="13">
        <v>0</v>
      </c>
      <c r="G201" s="13">
        <v>1</v>
      </c>
      <c r="H201" s="13">
        <v>1</v>
      </c>
      <c r="I201" s="13">
        <v>0</v>
      </c>
      <c r="J201" s="13">
        <v>0</v>
      </c>
      <c r="K201" s="56">
        <v>42882</v>
      </c>
      <c r="L201" s="32">
        <v>288</v>
      </c>
      <c r="M201" s="145">
        <f t="shared" si="6"/>
        <v>52</v>
      </c>
      <c r="N201" s="145">
        <f t="shared" si="7"/>
        <v>2</v>
      </c>
    </row>
    <row r="202" spans="2:14" x14ac:dyDescent="0.35">
      <c r="B202" s="10" t="s">
        <v>707</v>
      </c>
      <c r="C202" s="13" t="s">
        <v>20</v>
      </c>
      <c r="D202" s="30">
        <v>42858</v>
      </c>
      <c r="E202" s="13">
        <v>1</v>
      </c>
      <c r="F202" s="13">
        <v>1</v>
      </c>
      <c r="G202" s="13">
        <v>0</v>
      </c>
      <c r="H202" s="13">
        <v>0</v>
      </c>
      <c r="I202" s="13">
        <v>0</v>
      </c>
      <c r="J202" s="13">
        <v>0</v>
      </c>
      <c r="K202" s="56">
        <v>42875</v>
      </c>
      <c r="L202" s="32">
        <v>287</v>
      </c>
      <c r="M202" s="145">
        <f t="shared" si="6"/>
        <v>17</v>
      </c>
      <c r="N202" s="145">
        <f t="shared" si="7"/>
        <v>1</v>
      </c>
    </row>
    <row r="203" spans="2:14" x14ac:dyDescent="0.35">
      <c r="B203" s="10" t="s">
        <v>688</v>
      </c>
      <c r="C203" s="13" t="s">
        <v>31</v>
      </c>
      <c r="D203" s="30">
        <v>42828</v>
      </c>
      <c r="E203" s="13">
        <v>1</v>
      </c>
      <c r="F203" s="13">
        <v>1</v>
      </c>
      <c r="G203" s="13">
        <v>0</v>
      </c>
      <c r="H203" s="13">
        <v>0</v>
      </c>
      <c r="I203" s="13">
        <v>0</v>
      </c>
      <c r="J203" s="13">
        <v>0</v>
      </c>
      <c r="K203" s="56">
        <v>42831</v>
      </c>
      <c r="L203" s="32">
        <v>287</v>
      </c>
      <c r="M203" s="145">
        <f t="shared" si="6"/>
        <v>3</v>
      </c>
      <c r="N203" s="145">
        <f t="shared" si="7"/>
        <v>1</v>
      </c>
    </row>
    <row r="204" spans="2:14" x14ac:dyDescent="0.35">
      <c r="B204" s="10" t="s">
        <v>504</v>
      </c>
      <c r="C204" s="13" t="s">
        <v>20</v>
      </c>
      <c r="D204" s="30">
        <v>42849</v>
      </c>
      <c r="E204" s="13">
        <v>1</v>
      </c>
      <c r="F204" s="13">
        <v>1</v>
      </c>
      <c r="G204" s="13">
        <v>0</v>
      </c>
      <c r="H204" s="13">
        <v>0</v>
      </c>
      <c r="I204" s="13">
        <v>0</v>
      </c>
      <c r="J204" s="13">
        <v>0</v>
      </c>
      <c r="K204" s="56">
        <v>42874</v>
      </c>
      <c r="L204" s="32">
        <v>287</v>
      </c>
      <c r="M204" s="145">
        <f t="shared" si="6"/>
        <v>25</v>
      </c>
      <c r="N204" s="145">
        <f t="shared" si="7"/>
        <v>1</v>
      </c>
    </row>
    <row r="205" spans="2:14" x14ac:dyDescent="0.35">
      <c r="B205" s="10" t="s">
        <v>365</v>
      </c>
      <c r="C205" s="13" t="s">
        <v>31</v>
      </c>
      <c r="D205" s="30">
        <v>42870</v>
      </c>
      <c r="E205" s="13">
        <v>1</v>
      </c>
      <c r="F205" s="13">
        <v>1</v>
      </c>
      <c r="G205" s="13">
        <v>0</v>
      </c>
      <c r="H205" s="13">
        <v>0</v>
      </c>
      <c r="I205" s="13">
        <v>0</v>
      </c>
      <c r="J205" s="13">
        <v>0</v>
      </c>
      <c r="K205" s="56">
        <v>42876</v>
      </c>
      <c r="L205" s="32">
        <v>286</v>
      </c>
      <c r="M205" s="145">
        <f t="shared" si="6"/>
        <v>6</v>
      </c>
      <c r="N205" s="145">
        <f t="shared" si="7"/>
        <v>1</v>
      </c>
    </row>
    <row r="206" spans="2:14" x14ac:dyDescent="0.35">
      <c r="B206" s="10" t="s">
        <v>110</v>
      </c>
      <c r="C206" s="13" t="s">
        <v>31</v>
      </c>
      <c r="D206" s="30">
        <v>42880</v>
      </c>
      <c r="E206" s="13">
        <v>1</v>
      </c>
      <c r="F206" s="13">
        <v>0</v>
      </c>
      <c r="G206" s="13">
        <v>1</v>
      </c>
      <c r="H206" s="13">
        <v>0</v>
      </c>
      <c r="I206" s="13">
        <v>1</v>
      </c>
      <c r="J206" s="13">
        <v>1</v>
      </c>
      <c r="K206" s="56">
        <v>42941</v>
      </c>
      <c r="L206" s="32">
        <v>286</v>
      </c>
      <c r="M206" s="145">
        <f t="shared" si="6"/>
        <v>61</v>
      </c>
      <c r="N206" s="145">
        <f t="shared" si="7"/>
        <v>3</v>
      </c>
    </row>
    <row r="207" spans="2:14" x14ac:dyDescent="0.35">
      <c r="B207" s="10" t="s">
        <v>419</v>
      </c>
      <c r="C207" s="13" t="s">
        <v>31</v>
      </c>
      <c r="D207" s="30">
        <v>42880</v>
      </c>
      <c r="E207" s="13">
        <v>1</v>
      </c>
      <c r="F207" s="13">
        <v>1</v>
      </c>
      <c r="G207" s="13">
        <v>0</v>
      </c>
      <c r="H207" s="13">
        <v>0</v>
      </c>
      <c r="I207" s="13">
        <v>0</v>
      </c>
      <c r="J207" s="13">
        <v>0</v>
      </c>
      <c r="K207" s="56">
        <v>42900</v>
      </c>
      <c r="L207" s="32">
        <v>285</v>
      </c>
      <c r="M207" s="145">
        <f t="shared" si="6"/>
        <v>20</v>
      </c>
      <c r="N207" s="145">
        <f t="shared" si="7"/>
        <v>1</v>
      </c>
    </row>
    <row r="208" spans="2:14" x14ac:dyDescent="0.35">
      <c r="B208" s="10" t="s">
        <v>340</v>
      </c>
      <c r="C208" s="13" t="s">
        <v>20</v>
      </c>
      <c r="D208" s="30">
        <v>42831</v>
      </c>
      <c r="E208" s="13">
        <v>1</v>
      </c>
      <c r="F208" s="13">
        <v>1</v>
      </c>
      <c r="G208" s="13">
        <v>0</v>
      </c>
      <c r="H208" s="13">
        <v>0</v>
      </c>
      <c r="I208" s="13">
        <v>0</v>
      </c>
      <c r="J208" s="13">
        <v>0</v>
      </c>
      <c r="K208" s="56">
        <v>42853</v>
      </c>
      <c r="L208" s="32">
        <v>285</v>
      </c>
      <c r="M208" s="145">
        <f t="shared" si="6"/>
        <v>22</v>
      </c>
      <c r="N208" s="145">
        <f t="shared" si="7"/>
        <v>1</v>
      </c>
    </row>
    <row r="209" spans="2:14" x14ac:dyDescent="0.35">
      <c r="B209" s="10" t="s">
        <v>377</v>
      </c>
      <c r="C209" s="13" t="s">
        <v>20</v>
      </c>
      <c r="D209" s="30">
        <v>42858</v>
      </c>
      <c r="E209" s="13">
        <v>1</v>
      </c>
      <c r="F209" s="13">
        <v>0</v>
      </c>
      <c r="G209" s="13">
        <v>1</v>
      </c>
      <c r="H209" s="13">
        <v>0</v>
      </c>
      <c r="I209" s="13">
        <v>1</v>
      </c>
      <c r="J209" s="13">
        <v>1</v>
      </c>
      <c r="K209" s="56">
        <v>42929</v>
      </c>
      <c r="L209" s="32">
        <v>285</v>
      </c>
      <c r="M209" s="145">
        <f t="shared" si="6"/>
        <v>71</v>
      </c>
      <c r="N209" s="145">
        <f t="shared" si="7"/>
        <v>3</v>
      </c>
    </row>
    <row r="210" spans="2:14" x14ac:dyDescent="0.35">
      <c r="B210" s="10" t="s">
        <v>189</v>
      </c>
      <c r="C210" s="13" t="s">
        <v>20</v>
      </c>
      <c r="D210" s="30">
        <v>42913</v>
      </c>
      <c r="E210" s="13">
        <v>1</v>
      </c>
      <c r="F210" s="13">
        <v>1</v>
      </c>
      <c r="G210" s="13">
        <v>0</v>
      </c>
      <c r="H210" s="13">
        <v>0</v>
      </c>
      <c r="I210" s="13">
        <v>0</v>
      </c>
      <c r="J210" s="13">
        <v>0</v>
      </c>
      <c r="K210" s="56">
        <v>42925</v>
      </c>
      <c r="L210" s="32">
        <v>283</v>
      </c>
      <c r="M210" s="145">
        <f t="shared" si="6"/>
        <v>12</v>
      </c>
      <c r="N210" s="145">
        <f t="shared" si="7"/>
        <v>1</v>
      </c>
    </row>
    <row r="211" spans="2:14" x14ac:dyDescent="0.35">
      <c r="B211" s="10" t="s">
        <v>621</v>
      </c>
      <c r="C211" s="13" t="s">
        <v>31</v>
      </c>
      <c r="D211" s="30">
        <v>42870</v>
      </c>
      <c r="E211" s="13">
        <v>1</v>
      </c>
      <c r="F211" s="13">
        <v>1</v>
      </c>
      <c r="G211" s="13">
        <v>0</v>
      </c>
      <c r="H211" s="13">
        <v>0</v>
      </c>
      <c r="I211" s="13">
        <v>0</v>
      </c>
      <c r="J211" s="13">
        <v>0</v>
      </c>
      <c r="K211" s="56">
        <v>42885</v>
      </c>
      <c r="L211" s="32">
        <v>283</v>
      </c>
      <c r="M211" s="145">
        <f t="shared" si="6"/>
        <v>15</v>
      </c>
      <c r="N211" s="145">
        <f t="shared" si="7"/>
        <v>1</v>
      </c>
    </row>
    <row r="212" spans="2:14" x14ac:dyDescent="0.35">
      <c r="B212" s="10" t="s">
        <v>576</v>
      </c>
      <c r="C212" s="13" t="s">
        <v>20</v>
      </c>
      <c r="D212" s="30">
        <v>42853</v>
      </c>
      <c r="E212" s="13">
        <v>1</v>
      </c>
      <c r="F212" s="13">
        <v>0</v>
      </c>
      <c r="G212" s="13">
        <v>1</v>
      </c>
      <c r="H212" s="13">
        <v>1</v>
      </c>
      <c r="I212" s="13">
        <v>0</v>
      </c>
      <c r="J212" s="13">
        <v>0</v>
      </c>
      <c r="K212" s="56">
        <v>42894</v>
      </c>
      <c r="L212" s="32">
        <v>283</v>
      </c>
      <c r="M212" s="145">
        <f t="shared" si="6"/>
        <v>41</v>
      </c>
      <c r="N212" s="145">
        <f t="shared" si="7"/>
        <v>2</v>
      </c>
    </row>
    <row r="213" spans="2:14" x14ac:dyDescent="0.35">
      <c r="B213" s="10" t="s">
        <v>290</v>
      </c>
      <c r="C213" s="13" t="s">
        <v>20</v>
      </c>
      <c r="D213" s="30">
        <v>42861</v>
      </c>
      <c r="E213" s="13">
        <v>1</v>
      </c>
      <c r="F213" s="13">
        <v>0</v>
      </c>
      <c r="G213" s="13">
        <v>1</v>
      </c>
      <c r="H213" s="13">
        <v>1</v>
      </c>
      <c r="I213" s="13">
        <v>0</v>
      </c>
      <c r="J213" s="13">
        <v>0</v>
      </c>
      <c r="K213" s="56">
        <v>42895</v>
      </c>
      <c r="L213" s="32">
        <v>281</v>
      </c>
      <c r="M213" s="145">
        <f t="shared" si="6"/>
        <v>34</v>
      </c>
      <c r="N213" s="145">
        <f t="shared" si="7"/>
        <v>2</v>
      </c>
    </row>
    <row r="214" spans="2:14" x14ac:dyDescent="0.35">
      <c r="B214" s="10" t="s">
        <v>138</v>
      </c>
      <c r="C214" s="13" t="s">
        <v>31</v>
      </c>
      <c r="D214" s="30">
        <v>42877</v>
      </c>
      <c r="E214" s="13">
        <v>1</v>
      </c>
      <c r="F214" s="13">
        <v>1</v>
      </c>
      <c r="G214" s="13">
        <v>0</v>
      </c>
      <c r="H214" s="13">
        <v>0</v>
      </c>
      <c r="I214" s="13">
        <v>0</v>
      </c>
      <c r="J214" s="13">
        <v>0</v>
      </c>
      <c r="K214" s="56">
        <v>42880</v>
      </c>
      <c r="L214" s="32">
        <v>281</v>
      </c>
      <c r="M214" s="145">
        <f t="shared" si="6"/>
        <v>3</v>
      </c>
      <c r="N214" s="145">
        <f t="shared" si="7"/>
        <v>1</v>
      </c>
    </row>
    <row r="215" spans="2:14" x14ac:dyDescent="0.35">
      <c r="B215" s="10" t="s">
        <v>76</v>
      </c>
      <c r="C215" s="13" t="s">
        <v>20</v>
      </c>
      <c r="D215" s="30">
        <v>42839</v>
      </c>
      <c r="E215" s="13">
        <v>1</v>
      </c>
      <c r="F215" s="13">
        <v>0</v>
      </c>
      <c r="G215" s="13">
        <v>1</v>
      </c>
      <c r="H215" s="13">
        <v>0</v>
      </c>
      <c r="I215" s="13">
        <v>1</v>
      </c>
      <c r="J215" s="13">
        <v>1</v>
      </c>
      <c r="K215" s="56">
        <v>42914</v>
      </c>
      <c r="L215" s="32">
        <v>279</v>
      </c>
      <c r="M215" s="145">
        <f t="shared" si="6"/>
        <v>75</v>
      </c>
      <c r="N215" s="145">
        <f t="shared" si="7"/>
        <v>3</v>
      </c>
    </row>
    <row r="216" spans="2:14" x14ac:dyDescent="0.35">
      <c r="B216" s="10" t="s">
        <v>345</v>
      </c>
      <c r="C216" s="13" t="s">
        <v>20</v>
      </c>
      <c r="D216" s="30">
        <v>42893</v>
      </c>
      <c r="E216" s="13">
        <v>1</v>
      </c>
      <c r="F216" s="13">
        <v>1</v>
      </c>
      <c r="G216" s="13">
        <v>0</v>
      </c>
      <c r="H216" s="13">
        <v>0</v>
      </c>
      <c r="I216" s="13">
        <v>0</v>
      </c>
      <c r="J216" s="13">
        <v>0</v>
      </c>
      <c r="K216" s="56">
        <v>42914</v>
      </c>
      <c r="L216" s="32">
        <v>278</v>
      </c>
      <c r="M216" s="145">
        <f t="shared" si="6"/>
        <v>21</v>
      </c>
      <c r="N216" s="145">
        <f t="shared" si="7"/>
        <v>1</v>
      </c>
    </row>
    <row r="217" spans="2:14" x14ac:dyDescent="0.35">
      <c r="B217" s="10" t="s">
        <v>382</v>
      </c>
      <c r="C217" s="13" t="s">
        <v>31</v>
      </c>
      <c r="D217" s="30">
        <v>42886</v>
      </c>
      <c r="E217" s="13">
        <v>1</v>
      </c>
      <c r="F217" s="13">
        <v>1</v>
      </c>
      <c r="G217" s="13">
        <v>0</v>
      </c>
      <c r="H217" s="13">
        <v>0</v>
      </c>
      <c r="I217" s="13">
        <v>0</v>
      </c>
      <c r="J217" s="13">
        <v>0</v>
      </c>
      <c r="K217" s="56">
        <v>42887</v>
      </c>
      <c r="L217" s="32">
        <v>276</v>
      </c>
      <c r="M217" s="145">
        <f t="shared" si="6"/>
        <v>1</v>
      </c>
      <c r="N217" s="145">
        <f t="shared" si="7"/>
        <v>1</v>
      </c>
    </row>
    <row r="218" spans="2:14" x14ac:dyDescent="0.35">
      <c r="B218" s="10" t="s">
        <v>78</v>
      </c>
      <c r="C218" s="13" t="s">
        <v>20</v>
      </c>
      <c r="D218" s="30">
        <v>42888</v>
      </c>
      <c r="E218" s="13">
        <v>1</v>
      </c>
      <c r="F218" s="13">
        <v>1</v>
      </c>
      <c r="G218" s="13">
        <v>0</v>
      </c>
      <c r="H218" s="13">
        <v>0</v>
      </c>
      <c r="I218" s="13">
        <v>0</v>
      </c>
      <c r="J218" s="13">
        <v>0</v>
      </c>
      <c r="K218" s="56">
        <v>42895</v>
      </c>
      <c r="L218" s="32">
        <v>276</v>
      </c>
      <c r="M218" s="145">
        <f t="shared" si="6"/>
        <v>7</v>
      </c>
      <c r="N218" s="145">
        <f t="shared" si="7"/>
        <v>1</v>
      </c>
    </row>
    <row r="219" spans="2:14" x14ac:dyDescent="0.35">
      <c r="B219" s="10" t="s">
        <v>396</v>
      </c>
      <c r="C219" s="13" t="s">
        <v>20</v>
      </c>
      <c r="D219" s="30">
        <v>42915</v>
      </c>
      <c r="E219" s="13">
        <v>1</v>
      </c>
      <c r="F219" s="13">
        <v>1</v>
      </c>
      <c r="G219" s="13">
        <v>0</v>
      </c>
      <c r="H219" s="13">
        <v>0</v>
      </c>
      <c r="I219" s="13">
        <v>0</v>
      </c>
      <c r="J219" s="13">
        <v>0</v>
      </c>
      <c r="K219" s="56">
        <v>42939</v>
      </c>
      <c r="L219" s="32">
        <v>276</v>
      </c>
      <c r="M219" s="145">
        <f t="shared" si="6"/>
        <v>24</v>
      </c>
      <c r="N219" s="145">
        <f t="shared" si="7"/>
        <v>1</v>
      </c>
    </row>
    <row r="220" spans="2:14" x14ac:dyDescent="0.35">
      <c r="B220" s="10" t="s">
        <v>452</v>
      </c>
      <c r="C220" s="13" t="s">
        <v>20</v>
      </c>
      <c r="D220" s="30">
        <v>42850</v>
      </c>
      <c r="E220" s="13">
        <v>1</v>
      </c>
      <c r="F220" s="13">
        <v>1</v>
      </c>
      <c r="G220" s="13">
        <v>0</v>
      </c>
      <c r="H220" s="13">
        <v>0</v>
      </c>
      <c r="I220" s="13">
        <v>0</v>
      </c>
      <c r="J220" s="13">
        <v>0</v>
      </c>
      <c r="K220" s="56">
        <v>42859</v>
      </c>
      <c r="L220" s="32">
        <v>276</v>
      </c>
      <c r="M220" s="145">
        <f t="shared" si="6"/>
        <v>9</v>
      </c>
      <c r="N220" s="145">
        <f t="shared" si="7"/>
        <v>1</v>
      </c>
    </row>
    <row r="221" spans="2:14" x14ac:dyDescent="0.35">
      <c r="B221" s="10" t="s">
        <v>142</v>
      </c>
      <c r="C221" s="13" t="s">
        <v>31</v>
      </c>
      <c r="D221" s="30">
        <v>42884</v>
      </c>
      <c r="E221" s="13">
        <v>1</v>
      </c>
      <c r="F221" s="13">
        <v>0</v>
      </c>
      <c r="G221" s="13">
        <v>1</v>
      </c>
      <c r="H221" s="13">
        <v>1</v>
      </c>
      <c r="I221" s="13">
        <v>0</v>
      </c>
      <c r="J221" s="13">
        <v>0</v>
      </c>
      <c r="K221" s="56">
        <v>42938</v>
      </c>
      <c r="L221" s="32">
        <v>276</v>
      </c>
      <c r="M221" s="145">
        <f t="shared" si="6"/>
        <v>54</v>
      </c>
      <c r="N221" s="145">
        <f t="shared" si="7"/>
        <v>2</v>
      </c>
    </row>
    <row r="222" spans="2:14" x14ac:dyDescent="0.35">
      <c r="B222" s="10" t="s">
        <v>172</v>
      </c>
      <c r="C222" s="13" t="s">
        <v>20</v>
      </c>
      <c r="D222" s="30">
        <v>42843</v>
      </c>
      <c r="E222" s="13">
        <v>1</v>
      </c>
      <c r="F222" s="13">
        <v>0</v>
      </c>
      <c r="G222" s="13">
        <v>1</v>
      </c>
      <c r="H222" s="13">
        <v>0</v>
      </c>
      <c r="I222" s="13">
        <v>1</v>
      </c>
      <c r="J222" s="13">
        <v>1</v>
      </c>
      <c r="K222" s="56">
        <v>42918</v>
      </c>
      <c r="L222" s="32">
        <v>276</v>
      </c>
      <c r="M222" s="145">
        <f t="shared" si="6"/>
        <v>75</v>
      </c>
      <c r="N222" s="145">
        <f t="shared" si="7"/>
        <v>3</v>
      </c>
    </row>
    <row r="223" spans="2:14" x14ac:dyDescent="0.35">
      <c r="B223" s="10" t="s">
        <v>120</v>
      </c>
      <c r="C223" s="13" t="s">
        <v>31</v>
      </c>
      <c r="D223" s="30">
        <v>42897</v>
      </c>
      <c r="E223" s="13">
        <v>1</v>
      </c>
      <c r="F223" s="13">
        <v>1</v>
      </c>
      <c r="G223" s="13">
        <v>0</v>
      </c>
      <c r="H223" s="13">
        <v>0</v>
      </c>
      <c r="I223" s="13">
        <v>0</v>
      </c>
      <c r="J223" s="13">
        <v>0</v>
      </c>
      <c r="K223" s="56">
        <v>42908</v>
      </c>
      <c r="L223" s="32">
        <v>275</v>
      </c>
      <c r="M223" s="145">
        <f t="shared" si="6"/>
        <v>11</v>
      </c>
      <c r="N223" s="145">
        <f t="shared" si="7"/>
        <v>1</v>
      </c>
    </row>
    <row r="224" spans="2:14" x14ac:dyDescent="0.35">
      <c r="B224" s="10" t="s">
        <v>111</v>
      </c>
      <c r="C224" s="13" t="s">
        <v>20</v>
      </c>
      <c r="D224" s="30">
        <v>42881</v>
      </c>
      <c r="E224" s="13">
        <v>1</v>
      </c>
      <c r="F224" s="13">
        <v>0</v>
      </c>
      <c r="G224" s="13">
        <v>1</v>
      </c>
      <c r="H224" s="13">
        <v>1</v>
      </c>
      <c r="I224" s="13">
        <v>0</v>
      </c>
      <c r="J224" s="13">
        <v>0</v>
      </c>
      <c r="K224" s="56">
        <v>42932</v>
      </c>
      <c r="L224" s="32">
        <v>275</v>
      </c>
      <c r="M224" s="145">
        <f t="shared" si="6"/>
        <v>51</v>
      </c>
      <c r="N224" s="145">
        <f t="shared" si="7"/>
        <v>2</v>
      </c>
    </row>
    <row r="225" spans="2:14" x14ac:dyDescent="0.35">
      <c r="B225" s="10" t="s">
        <v>631</v>
      </c>
      <c r="C225" s="13" t="s">
        <v>20</v>
      </c>
      <c r="D225" s="30">
        <v>42891</v>
      </c>
      <c r="E225" s="13">
        <v>1</v>
      </c>
      <c r="F225" s="13">
        <v>1</v>
      </c>
      <c r="G225" s="13">
        <v>0</v>
      </c>
      <c r="H225" s="13">
        <v>0</v>
      </c>
      <c r="I225" s="13">
        <v>0</v>
      </c>
      <c r="J225" s="13">
        <v>0</v>
      </c>
      <c r="K225" s="56">
        <v>42908</v>
      </c>
      <c r="L225" s="32">
        <v>274</v>
      </c>
      <c r="M225" s="145">
        <f t="shared" si="6"/>
        <v>17</v>
      </c>
      <c r="N225" s="145">
        <f t="shared" si="7"/>
        <v>1</v>
      </c>
    </row>
    <row r="226" spans="2:14" x14ac:dyDescent="0.35">
      <c r="B226" s="10" t="s">
        <v>531</v>
      </c>
      <c r="C226" s="13" t="s">
        <v>31</v>
      </c>
      <c r="D226" s="30">
        <v>42855</v>
      </c>
      <c r="E226" s="13">
        <v>1</v>
      </c>
      <c r="F226" s="13">
        <v>1</v>
      </c>
      <c r="G226" s="13">
        <v>0</v>
      </c>
      <c r="H226" s="13">
        <v>0</v>
      </c>
      <c r="I226" s="13">
        <v>0</v>
      </c>
      <c r="J226" s="13">
        <v>0</v>
      </c>
      <c r="K226" s="56">
        <v>42858</v>
      </c>
      <c r="L226" s="32">
        <v>271</v>
      </c>
      <c r="M226" s="145">
        <f t="shared" si="6"/>
        <v>3</v>
      </c>
      <c r="N226" s="145">
        <f t="shared" si="7"/>
        <v>1</v>
      </c>
    </row>
    <row r="227" spans="2:14" x14ac:dyDescent="0.35">
      <c r="B227" s="10" t="s">
        <v>199</v>
      </c>
      <c r="C227" s="13" t="s">
        <v>31</v>
      </c>
      <c r="D227" s="30">
        <v>42839</v>
      </c>
      <c r="E227" s="13">
        <v>1</v>
      </c>
      <c r="F227" s="13">
        <v>1</v>
      </c>
      <c r="G227" s="13">
        <v>0</v>
      </c>
      <c r="H227" s="13">
        <v>0</v>
      </c>
      <c r="I227" s="13">
        <v>0</v>
      </c>
      <c r="J227" s="13">
        <v>0</v>
      </c>
      <c r="K227" s="56">
        <v>42843</v>
      </c>
      <c r="L227" s="32">
        <v>271</v>
      </c>
      <c r="M227" s="145">
        <f t="shared" si="6"/>
        <v>4</v>
      </c>
      <c r="N227" s="145">
        <f t="shared" si="7"/>
        <v>1</v>
      </c>
    </row>
    <row r="228" spans="2:14" x14ac:dyDescent="0.35">
      <c r="B228" s="10" t="s">
        <v>678</v>
      </c>
      <c r="C228" s="13" t="s">
        <v>20</v>
      </c>
      <c r="D228" s="30">
        <v>42893</v>
      </c>
      <c r="E228" s="13">
        <v>1</v>
      </c>
      <c r="F228" s="13">
        <v>0</v>
      </c>
      <c r="G228" s="13">
        <v>1</v>
      </c>
      <c r="H228" s="13">
        <v>1</v>
      </c>
      <c r="I228" s="13">
        <v>0</v>
      </c>
      <c r="J228" s="13">
        <v>0</v>
      </c>
      <c r="K228" s="56">
        <v>42927</v>
      </c>
      <c r="L228" s="32">
        <v>271</v>
      </c>
      <c r="M228" s="145">
        <f t="shared" si="6"/>
        <v>34</v>
      </c>
      <c r="N228" s="145">
        <f t="shared" si="7"/>
        <v>2</v>
      </c>
    </row>
    <row r="229" spans="2:14" x14ac:dyDescent="0.35">
      <c r="B229" s="10" t="s">
        <v>969</v>
      </c>
      <c r="C229" s="13" t="s">
        <v>20</v>
      </c>
      <c r="D229" s="30">
        <v>42899</v>
      </c>
      <c r="E229" s="13">
        <v>1</v>
      </c>
      <c r="F229" s="13">
        <v>0</v>
      </c>
      <c r="G229" s="13">
        <v>1</v>
      </c>
      <c r="H229" s="13">
        <v>0</v>
      </c>
      <c r="I229" s="13">
        <v>1</v>
      </c>
      <c r="J229" s="13">
        <v>1</v>
      </c>
      <c r="K229" s="56">
        <v>42974</v>
      </c>
      <c r="L229" s="32">
        <v>270</v>
      </c>
      <c r="M229" s="145">
        <f t="shared" si="6"/>
        <v>75</v>
      </c>
      <c r="N229" s="145">
        <f t="shared" si="7"/>
        <v>3</v>
      </c>
    </row>
    <row r="230" spans="2:14" x14ac:dyDescent="0.35">
      <c r="B230" s="10" t="s">
        <v>323</v>
      </c>
      <c r="C230" s="13" t="s">
        <v>31</v>
      </c>
      <c r="D230" s="30">
        <v>42835</v>
      </c>
      <c r="E230" s="13">
        <v>1</v>
      </c>
      <c r="F230" s="13">
        <v>1</v>
      </c>
      <c r="G230" s="13">
        <v>0</v>
      </c>
      <c r="H230" s="13">
        <v>0</v>
      </c>
      <c r="I230" s="13">
        <v>0</v>
      </c>
      <c r="J230" s="13">
        <v>0</v>
      </c>
      <c r="K230" s="56">
        <v>42847</v>
      </c>
      <c r="L230" s="32">
        <v>269</v>
      </c>
      <c r="M230" s="145">
        <f t="shared" si="6"/>
        <v>12</v>
      </c>
      <c r="N230" s="145">
        <f t="shared" si="7"/>
        <v>1</v>
      </c>
    </row>
    <row r="231" spans="2:14" x14ac:dyDescent="0.35">
      <c r="B231" s="10" t="s">
        <v>230</v>
      </c>
      <c r="C231" s="13" t="s">
        <v>20</v>
      </c>
      <c r="D231" s="30">
        <v>42834</v>
      </c>
      <c r="E231" s="13">
        <v>1</v>
      </c>
      <c r="F231" s="13">
        <v>1</v>
      </c>
      <c r="G231" s="13">
        <v>0</v>
      </c>
      <c r="H231" s="13">
        <v>0</v>
      </c>
      <c r="I231" s="13">
        <v>0</v>
      </c>
      <c r="J231" s="13">
        <v>0</v>
      </c>
      <c r="K231" s="56">
        <v>42849</v>
      </c>
      <c r="L231" s="32">
        <v>268</v>
      </c>
      <c r="M231" s="145">
        <f t="shared" si="6"/>
        <v>15</v>
      </c>
      <c r="N231" s="145">
        <f t="shared" si="7"/>
        <v>1</v>
      </c>
    </row>
    <row r="232" spans="2:14" x14ac:dyDescent="0.35">
      <c r="B232" s="10" t="s">
        <v>970</v>
      </c>
      <c r="C232" s="13" t="s">
        <v>31</v>
      </c>
      <c r="D232" s="30">
        <v>42891</v>
      </c>
      <c r="E232" s="13">
        <v>1</v>
      </c>
      <c r="F232" s="13">
        <v>1</v>
      </c>
      <c r="G232" s="13">
        <v>0</v>
      </c>
      <c r="H232" s="13">
        <v>0</v>
      </c>
      <c r="I232" s="13">
        <v>0</v>
      </c>
      <c r="J232" s="13">
        <v>0</v>
      </c>
      <c r="K232" s="56">
        <v>42897</v>
      </c>
      <c r="L232" s="32">
        <v>268</v>
      </c>
      <c r="M232" s="145">
        <f t="shared" si="6"/>
        <v>6</v>
      </c>
      <c r="N232" s="145">
        <f t="shared" si="7"/>
        <v>1</v>
      </c>
    </row>
    <row r="233" spans="2:14" x14ac:dyDescent="0.35">
      <c r="B233" s="10" t="s">
        <v>497</v>
      </c>
      <c r="C233" s="13" t="s">
        <v>20</v>
      </c>
      <c r="D233" s="30">
        <v>42880</v>
      </c>
      <c r="E233" s="13">
        <v>1</v>
      </c>
      <c r="F233" s="13">
        <v>1</v>
      </c>
      <c r="G233" s="13">
        <v>0</v>
      </c>
      <c r="H233" s="13">
        <v>0</v>
      </c>
      <c r="I233" s="13">
        <v>0</v>
      </c>
      <c r="J233" s="13">
        <v>0</v>
      </c>
      <c r="K233" s="56">
        <v>42884</v>
      </c>
      <c r="L233" s="32">
        <v>267</v>
      </c>
      <c r="M233" s="145">
        <f t="shared" si="6"/>
        <v>4</v>
      </c>
      <c r="N233" s="145">
        <f t="shared" si="7"/>
        <v>1</v>
      </c>
    </row>
    <row r="234" spans="2:14" x14ac:dyDescent="0.35">
      <c r="B234" s="10" t="s">
        <v>538</v>
      </c>
      <c r="C234" s="13" t="s">
        <v>20</v>
      </c>
      <c r="D234" s="30">
        <v>42903</v>
      </c>
      <c r="E234" s="13">
        <v>1</v>
      </c>
      <c r="F234" s="13">
        <v>0</v>
      </c>
      <c r="G234" s="13">
        <v>1</v>
      </c>
      <c r="H234" s="13">
        <v>1</v>
      </c>
      <c r="I234" s="13">
        <v>0</v>
      </c>
      <c r="J234" s="13">
        <v>0</v>
      </c>
      <c r="K234" s="56">
        <v>42938</v>
      </c>
      <c r="L234" s="32">
        <v>267</v>
      </c>
      <c r="M234" s="145">
        <f t="shared" si="6"/>
        <v>35</v>
      </c>
      <c r="N234" s="145">
        <f t="shared" si="7"/>
        <v>2</v>
      </c>
    </row>
    <row r="235" spans="2:14" x14ac:dyDescent="0.35">
      <c r="B235" s="10" t="s">
        <v>331</v>
      </c>
      <c r="C235" s="13" t="s">
        <v>31</v>
      </c>
      <c r="D235" s="30">
        <v>42892</v>
      </c>
      <c r="E235" s="13">
        <v>1</v>
      </c>
      <c r="F235" s="13">
        <v>1</v>
      </c>
      <c r="G235" s="13">
        <v>0</v>
      </c>
      <c r="H235" s="13">
        <v>0</v>
      </c>
      <c r="I235" s="13">
        <v>0</v>
      </c>
      <c r="J235" s="13">
        <v>0</v>
      </c>
      <c r="K235" s="56">
        <v>42899</v>
      </c>
      <c r="L235" s="32">
        <v>265</v>
      </c>
      <c r="M235" s="145">
        <f t="shared" si="6"/>
        <v>7</v>
      </c>
      <c r="N235" s="145">
        <f t="shared" si="7"/>
        <v>1</v>
      </c>
    </row>
    <row r="236" spans="2:14" x14ac:dyDescent="0.35">
      <c r="B236" s="10" t="s">
        <v>460</v>
      </c>
      <c r="C236" s="13" t="s">
        <v>31</v>
      </c>
      <c r="D236" s="30">
        <v>42884</v>
      </c>
      <c r="E236" s="13">
        <v>1</v>
      </c>
      <c r="F236" s="13">
        <v>1</v>
      </c>
      <c r="G236" s="13">
        <v>0</v>
      </c>
      <c r="H236" s="13">
        <v>0</v>
      </c>
      <c r="I236" s="13">
        <v>0</v>
      </c>
      <c r="J236" s="13">
        <v>0</v>
      </c>
      <c r="K236" s="56">
        <v>42887</v>
      </c>
      <c r="L236" s="32">
        <v>265</v>
      </c>
      <c r="M236" s="145">
        <f t="shared" si="6"/>
        <v>3</v>
      </c>
      <c r="N236" s="145">
        <f t="shared" si="7"/>
        <v>1</v>
      </c>
    </row>
    <row r="237" spans="2:14" x14ac:dyDescent="0.35">
      <c r="B237" s="10" t="s">
        <v>178</v>
      </c>
      <c r="C237" s="13" t="s">
        <v>20</v>
      </c>
      <c r="D237" s="30">
        <v>42877</v>
      </c>
      <c r="E237" s="13">
        <v>1</v>
      </c>
      <c r="F237" s="13">
        <v>1</v>
      </c>
      <c r="G237" s="13">
        <v>0</v>
      </c>
      <c r="H237" s="13">
        <v>0</v>
      </c>
      <c r="I237" s="13">
        <v>0</v>
      </c>
      <c r="J237" s="13">
        <v>0</v>
      </c>
      <c r="K237" s="56">
        <v>42895</v>
      </c>
      <c r="L237" s="32">
        <v>264</v>
      </c>
      <c r="M237" s="145">
        <f t="shared" si="6"/>
        <v>18</v>
      </c>
      <c r="N237" s="145">
        <f t="shared" si="7"/>
        <v>1</v>
      </c>
    </row>
    <row r="238" spans="2:14" x14ac:dyDescent="0.35">
      <c r="B238" s="10" t="s">
        <v>246</v>
      </c>
      <c r="C238" s="13" t="s">
        <v>20</v>
      </c>
      <c r="D238" s="30">
        <v>42833</v>
      </c>
      <c r="E238" s="13">
        <v>1</v>
      </c>
      <c r="F238" s="13">
        <v>0</v>
      </c>
      <c r="G238" s="13">
        <v>1</v>
      </c>
      <c r="H238" s="13">
        <v>1</v>
      </c>
      <c r="I238" s="13">
        <v>0</v>
      </c>
      <c r="J238" s="13">
        <v>0</v>
      </c>
      <c r="K238" s="56">
        <v>42884</v>
      </c>
      <c r="L238" s="32">
        <v>264</v>
      </c>
      <c r="M238" s="145">
        <f t="shared" si="6"/>
        <v>51</v>
      </c>
      <c r="N238" s="145">
        <f t="shared" si="7"/>
        <v>2</v>
      </c>
    </row>
    <row r="239" spans="2:14" x14ac:dyDescent="0.35">
      <c r="B239" s="10" t="s">
        <v>43</v>
      </c>
      <c r="C239" s="13" t="s">
        <v>31</v>
      </c>
      <c r="D239" s="30">
        <v>42880</v>
      </c>
      <c r="E239" s="13">
        <v>1</v>
      </c>
      <c r="F239" s="13">
        <v>0</v>
      </c>
      <c r="G239" s="13">
        <v>1</v>
      </c>
      <c r="H239" s="13">
        <v>1</v>
      </c>
      <c r="I239" s="13">
        <v>0</v>
      </c>
      <c r="J239" s="13">
        <v>0</v>
      </c>
      <c r="K239" s="56">
        <v>42931</v>
      </c>
      <c r="L239" s="32">
        <v>262</v>
      </c>
      <c r="M239" s="145">
        <f t="shared" si="6"/>
        <v>51</v>
      </c>
      <c r="N239" s="145">
        <f t="shared" si="7"/>
        <v>2</v>
      </c>
    </row>
    <row r="240" spans="2:14" x14ac:dyDescent="0.35">
      <c r="B240" s="10" t="s">
        <v>155</v>
      </c>
      <c r="C240" s="13" t="s">
        <v>31</v>
      </c>
      <c r="D240" s="30">
        <v>42890</v>
      </c>
      <c r="E240" s="13">
        <v>1</v>
      </c>
      <c r="F240" s="13">
        <v>1</v>
      </c>
      <c r="G240" s="13">
        <v>0</v>
      </c>
      <c r="H240" s="13">
        <v>0</v>
      </c>
      <c r="I240" s="13">
        <v>0</v>
      </c>
      <c r="J240" s="13">
        <v>0</v>
      </c>
      <c r="K240" s="56">
        <v>42895</v>
      </c>
      <c r="L240" s="32">
        <v>261</v>
      </c>
      <c r="M240" s="145">
        <f t="shared" si="6"/>
        <v>5</v>
      </c>
      <c r="N240" s="145">
        <f t="shared" si="7"/>
        <v>1</v>
      </c>
    </row>
    <row r="241" spans="2:14" x14ac:dyDescent="0.35">
      <c r="B241" s="10" t="s">
        <v>47</v>
      </c>
      <c r="C241" s="13" t="s">
        <v>20</v>
      </c>
      <c r="D241" s="30">
        <v>42913</v>
      </c>
      <c r="E241" s="13">
        <v>1</v>
      </c>
      <c r="F241" s="13">
        <v>0</v>
      </c>
      <c r="G241" s="13">
        <v>1</v>
      </c>
      <c r="H241" s="13">
        <v>1</v>
      </c>
      <c r="I241" s="13">
        <v>0</v>
      </c>
      <c r="J241" s="13">
        <v>0</v>
      </c>
      <c r="K241" s="56">
        <v>42966</v>
      </c>
      <c r="L241" s="32">
        <v>261</v>
      </c>
      <c r="M241" s="145">
        <f t="shared" si="6"/>
        <v>53</v>
      </c>
      <c r="N241" s="145">
        <f t="shared" si="7"/>
        <v>2</v>
      </c>
    </row>
    <row r="242" spans="2:14" x14ac:dyDescent="0.35">
      <c r="B242" s="10" t="s">
        <v>515</v>
      </c>
      <c r="C242" s="13" t="s">
        <v>20</v>
      </c>
      <c r="D242" s="30">
        <v>42873</v>
      </c>
      <c r="E242" s="13">
        <v>1</v>
      </c>
      <c r="F242" s="13">
        <v>1</v>
      </c>
      <c r="G242" s="13">
        <v>0</v>
      </c>
      <c r="H242" s="13">
        <v>0</v>
      </c>
      <c r="I242" s="13">
        <v>0</v>
      </c>
      <c r="J242" s="13">
        <v>0</v>
      </c>
      <c r="K242" s="56">
        <v>42883</v>
      </c>
      <c r="L242" s="32">
        <v>260</v>
      </c>
      <c r="M242" s="145">
        <f t="shared" si="6"/>
        <v>10</v>
      </c>
      <c r="N242" s="145">
        <f t="shared" si="7"/>
        <v>1</v>
      </c>
    </row>
    <row r="243" spans="2:14" x14ac:dyDescent="0.35">
      <c r="B243" s="10" t="s">
        <v>760</v>
      </c>
      <c r="C243" s="13" t="s">
        <v>20</v>
      </c>
      <c r="D243" s="30">
        <v>42848</v>
      </c>
      <c r="E243" s="13">
        <v>1</v>
      </c>
      <c r="F243" s="13">
        <v>0</v>
      </c>
      <c r="G243" s="13">
        <v>1</v>
      </c>
      <c r="H243" s="13">
        <v>1</v>
      </c>
      <c r="I243" s="13">
        <v>0</v>
      </c>
      <c r="J243" s="13">
        <v>0</v>
      </c>
      <c r="K243" s="56">
        <v>42879</v>
      </c>
      <c r="L243" s="32">
        <v>250</v>
      </c>
      <c r="M243" s="145">
        <f t="shared" si="6"/>
        <v>31</v>
      </c>
      <c r="N243" s="145">
        <f t="shared" si="7"/>
        <v>2</v>
      </c>
    </row>
    <row r="244" spans="2:14" x14ac:dyDescent="0.35">
      <c r="B244" s="10" t="s">
        <v>737</v>
      </c>
      <c r="C244" s="13" t="s">
        <v>20</v>
      </c>
      <c r="D244" s="30">
        <v>42840</v>
      </c>
      <c r="E244" s="13">
        <v>1</v>
      </c>
      <c r="F244" s="13">
        <v>1</v>
      </c>
      <c r="G244" s="13">
        <v>0</v>
      </c>
      <c r="H244" s="13">
        <v>0</v>
      </c>
      <c r="I244" s="13">
        <v>0</v>
      </c>
      <c r="J244" s="13">
        <v>0</v>
      </c>
      <c r="K244" s="56">
        <v>42861</v>
      </c>
      <c r="L244" s="32">
        <v>249</v>
      </c>
      <c r="M244" s="145">
        <f t="shared" si="6"/>
        <v>21</v>
      </c>
      <c r="N244" s="145">
        <f t="shared" si="7"/>
        <v>1</v>
      </c>
    </row>
    <row r="245" spans="2:14" x14ac:dyDescent="0.35">
      <c r="B245" s="10" t="s">
        <v>505</v>
      </c>
      <c r="C245" s="13" t="s">
        <v>31</v>
      </c>
      <c r="D245" s="30">
        <v>42873</v>
      </c>
      <c r="E245" s="13">
        <v>1</v>
      </c>
      <c r="F245" s="13">
        <v>0</v>
      </c>
      <c r="G245" s="13">
        <v>1</v>
      </c>
      <c r="H245" s="13">
        <v>0</v>
      </c>
      <c r="I245" s="13">
        <v>1</v>
      </c>
      <c r="J245" s="13">
        <v>1</v>
      </c>
      <c r="K245" s="56">
        <v>42934</v>
      </c>
      <c r="L245" s="32">
        <v>249</v>
      </c>
      <c r="M245" s="145">
        <f t="shared" si="6"/>
        <v>61</v>
      </c>
      <c r="N245" s="145">
        <f t="shared" si="7"/>
        <v>3</v>
      </c>
    </row>
    <row r="246" spans="2:14" x14ac:dyDescent="0.35">
      <c r="B246" s="10" t="s">
        <v>639</v>
      </c>
      <c r="C246" s="13" t="s">
        <v>31</v>
      </c>
      <c r="D246" s="30">
        <v>42903</v>
      </c>
      <c r="E246" s="13">
        <v>1</v>
      </c>
      <c r="F246" s="13">
        <v>1</v>
      </c>
      <c r="G246" s="13">
        <v>0</v>
      </c>
      <c r="H246" s="13">
        <v>0</v>
      </c>
      <c r="I246" s="13">
        <v>0</v>
      </c>
      <c r="J246" s="13">
        <v>0</v>
      </c>
      <c r="K246" s="56">
        <v>42915</v>
      </c>
      <c r="L246" s="32">
        <v>247</v>
      </c>
      <c r="M246" s="145">
        <f t="shared" si="6"/>
        <v>12</v>
      </c>
      <c r="N246" s="145">
        <f t="shared" si="7"/>
        <v>1</v>
      </c>
    </row>
    <row r="247" spans="2:14" x14ac:dyDescent="0.35">
      <c r="B247" s="10" t="s">
        <v>757</v>
      </c>
      <c r="C247" s="13" t="s">
        <v>31</v>
      </c>
      <c r="D247" s="30">
        <v>42858</v>
      </c>
      <c r="E247" s="13">
        <v>1</v>
      </c>
      <c r="F247" s="13">
        <v>0</v>
      </c>
      <c r="G247" s="13">
        <v>1</v>
      </c>
      <c r="H247" s="13">
        <v>1</v>
      </c>
      <c r="I247" s="13">
        <v>0</v>
      </c>
      <c r="J247" s="13">
        <v>0</v>
      </c>
      <c r="K247" s="56">
        <v>42893</v>
      </c>
      <c r="L247" s="32">
        <v>159</v>
      </c>
      <c r="M247" s="145">
        <f t="shared" si="6"/>
        <v>35</v>
      </c>
      <c r="N247" s="145">
        <f t="shared" si="7"/>
        <v>2</v>
      </c>
    </row>
    <row r="248" spans="2:14" x14ac:dyDescent="0.35">
      <c r="B248" s="10" t="s">
        <v>247</v>
      </c>
      <c r="C248" s="13" t="s">
        <v>31</v>
      </c>
      <c r="D248" s="30">
        <v>42859</v>
      </c>
      <c r="E248" s="13">
        <v>1</v>
      </c>
      <c r="F248" s="13">
        <v>1</v>
      </c>
      <c r="G248" s="13">
        <v>0</v>
      </c>
      <c r="H248" s="13">
        <v>0</v>
      </c>
      <c r="I248" s="13">
        <v>0</v>
      </c>
      <c r="J248" s="13">
        <v>0</v>
      </c>
      <c r="K248" s="56">
        <v>42883</v>
      </c>
      <c r="L248" s="32">
        <v>158</v>
      </c>
      <c r="M248" s="145">
        <f t="shared" si="6"/>
        <v>24</v>
      </c>
      <c r="N248" s="145">
        <f t="shared" si="7"/>
        <v>1</v>
      </c>
    </row>
    <row r="249" spans="2:14" x14ac:dyDescent="0.35">
      <c r="B249" s="10" t="s">
        <v>734</v>
      </c>
      <c r="C249" s="13" t="s">
        <v>31</v>
      </c>
      <c r="D249" s="30">
        <v>42890</v>
      </c>
      <c r="E249" s="13">
        <v>1</v>
      </c>
      <c r="F249" s="13">
        <v>0</v>
      </c>
      <c r="G249" s="13">
        <v>1</v>
      </c>
      <c r="H249" s="13">
        <v>1</v>
      </c>
      <c r="I249" s="13">
        <v>0</v>
      </c>
      <c r="J249" s="13">
        <v>0</v>
      </c>
      <c r="K249" s="56">
        <v>42932</v>
      </c>
      <c r="L249" s="32">
        <v>157</v>
      </c>
      <c r="M249" s="145">
        <f t="shared" si="6"/>
        <v>42</v>
      </c>
      <c r="N249" s="145">
        <f t="shared" si="7"/>
        <v>2</v>
      </c>
    </row>
    <row r="250" spans="2:14" x14ac:dyDescent="0.35">
      <c r="B250" s="10" t="s">
        <v>280</v>
      </c>
      <c r="C250" s="13" t="s">
        <v>20</v>
      </c>
      <c r="D250" s="30">
        <v>42894</v>
      </c>
      <c r="E250" s="13">
        <v>1</v>
      </c>
      <c r="F250" s="13">
        <v>1</v>
      </c>
      <c r="G250" s="13">
        <v>0</v>
      </c>
      <c r="H250" s="13">
        <v>0</v>
      </c>
      <c r="I250" s="13">
        <v>0</v>
      </c>
      <c r="J250" s="13">
        <v>0</v>
      </c>
      <c r="K250" s="56">
        <v>42905</v>
      </c>
      <c r="L250" s="32">
        <v>155</v>
      </c>
      <c r="M250" s="145">
        <f t="shared" si="6"/>
        <v>11</v>
      </c>
      <c r="N250" s="145">
        <f t="shared" si="7"/>
        <v>1</v>
      </c>
    </row>
    <row r="251" spans="2:14" x14ac:dyDescent="0.35">
      <c r="B251" s="10" t="s">
        <v>606</v>
      </c>
      <c r="C251" s="13" t="s">
        <v>20</v>
      </c>
      <c r="D251" s="30">
        <v>42890</v>
      </c>
      <c r="E251" s="13">
        <v>1</v>
      </c>
      <c r="F251" s="13">
        <v>0</v>
      </c>
      <c r="G251" s="13">
        <v>1</v>
      </c>
      <c r="H251" s="13">
        <v>1</v>
      </c>
      <c r="I251" s="13">
        <v>0</v>
      </c>
      <c r="J251" s="13">
        <v>0</v>
      </c>
      <c r="K251" s="56">
        <v>42945</v>
      </c>
      <c r="L251" s="32">
        <v>151</v>
      </c>
      <c r="M251" s="145">
        <f t="shared" si="6"/>
        <v>55</v>
      </c>
      <c r="N251" s="145">
        <f t="shared" si="7"/>
        <v>2</v>
      </c>
    </row>
    <row r="252" spans="2:14" x14ac:dyDescent="0.35">
      <c r="B252" s="10" t="s">
        <v>193</v>
      </c>
      <c r="C252" s="13" t="s">
        <v>31</v>
      </c>
      <c r="D252" s="30">
        <v>42888</v>
      </c>
      <c r="E252" s="13">
        <v>1</v>
      </c>
      <c r="F252" s="13">
        <v>1</v>
      </c>
      <c r="G252" s="13">
        <v>0</v>
      </c>
      <c r="H252" s="13">
        <v>0</v>
      </c>
      <c r="I252" s="13">
        <v>0</v>
      </c>
      <c r="J252" s="13">
        <v>0</v>
      </c>
      <c r="K252" s="56">
        <v>42903</v>
      </c>
      <c r="L252" s="32">
        <v>150</v>
      </c>
      <c r="M252" s="145">
        <f t="shared" si="6"/>
        <v>15</v>
      </c>
      <c r="N252" s="145">
        <f t="shared" si="7"/>
        <v>1</v>
      </c>
    </row>
    <row r="253" spans="2:14" x14ac:dyDescent="0.35">
      <c r="B253" s="10" t="s">
        <v>388</v>
      </c>
      <c r="C253" s="13" t="s">
        <v>20</v>
      </c>
      <c r="D253" s="30">
        <v>42878</v>
      </c>
      <c r="E253" s="13">
        <v>1</v>
      </c>
      <c r="F253" s="13">
        <v>0</v>
      </c>
      <c r="G253" s="13">
        <v>1</v>
      </c>
      <c r="H253" s="13">
        <v>1</v>
      </c>
      <c r="I253" s="13">
        <v>0</v>
      </c>
      <c r="J253" s="13">
        <v>0</v>
      </c>
      <c r="K253" s="56">
        <v>42919</v>
      </c>
      <c r="L253" s="32">
        <v>150</v>
      </c>
      <c r="M253" s="145">
        <f t="shared" si="6"/>
        <v>41</v>
      </c>
      <c r="N253" s="145">
        <f t="shared" si="7"/>
        <v>2</v>
      </c>
    </row>
    <row r="254" spans="2:14" x14ac:dyDescent="0.35">
      <c r="B254" s="10" t="s">
        <v>458</v>
      </c>
      <c r="C254" s="13" t="s">
        <v>31</v>
      </c>
      <c r="D254" s="30">
        <v>42898</v>
      </c>
      <c r="E254" s="13">
        <v>1</v>
      </c>
      <c r="F254" s="13">
        <v>0</v>
      </c>
      <c r="G254" s="13">
        <v>1</v>
      </c>
      <c r="H254" s="13">
        <v>1</v>
      </c>
      <c r="I254" s="13">
        <v>0</v>
      </c>
      <c r="J254" s="13">
        <v>0</v>
      </c>
      <c r="K254" s="56">
        <v>42951</v>
      </c>
      <c r="L254" s="32">
        <v>148</v>
      </c>
      <c r="M254" s="145">
        <f t="shared" si="6"/>
        <v>53</v>
      </c>
      <c r="N254" s="145">
        <f t="shared" si="7"/>
        <v>2</v>
      </c>
    </row>
    <row r="255" spans="2:14" x14ac:dyDescent="0.35">
      <c r="B255" s="10" t="s">
        <v>401</v>
      </c>
      <c r="C255" s="13" t="s">
        <v>31</v>
      </c>
      <c r="D255" s="30">
        <v>42850</v>
      </c>
      <c r="E255" s="13">
        <v>1</v>
      </c>
      <c r="F255" s="13">
        <v>1</v>
      </c>
      <c r="G255" s="13">
        <v>0</v>
      </c>
      <c r="H255" s="13">
        <v>0</v>
      </c>
      <c r="I255" s="13">
        <v>0</v>
      </c>
      <c r="J255" s="13">
        <v>0</v>
      </c>
      <c r="K255" s="56">
        <v>42864</v>
      </c>
      <c r="L255" s="32">
        <v>146</v>
      </c>
      <c r="M255" s="145">
        <f t="shared" si="6"/>
        <v>14</v>
      </c>
      <c r="N255" s="145">
        <f t="shared" si="7"/>
        <v>1</v>
      </c>
    </row>
    <row r="256" spans="2:14" x14ac:dyDescent="0.35">
      <c r="B256" s="10" t="s">
        <v>643</v>
      </c>
      <c r="C256" s="13" t="s">
        <v>31</v>
      </c>
      <c r="D256" s="30">
        <v>42890</v>
      </c>
      <c r="E256" s="13">
        <v>1</v>
      </c>
      <c r="F256" s="13">
        <v>1</v>
      </c>
      <c r="G256" s="13">
        <v>0</v>
      </c>
      <c r="H256" s="13">
        <v>0</v>
      </c>
      <c r="I256" s="13">
        <v>0</v>
      </c>
      <c r="J256" s="13">
        <v>0</v>
      </c>
      <c r="K256" s="56">
        <v>42901</v>
      </c>
      <c r="L256" s="32">
        <v>145</v>
      </c>
      <c r="M256" s="145">
        <f t="shared" si="6"/>
        <v>11</v>
      </c>
      <c r="N256" s="145">
        <f t="shared" si="7"/>
        <v>1</v>
      </c>
    </row>
    <row r="257" spans="2:14" x14ac:dyDescent="0.35">
      <c r="B257" s="10" t="s">
        <v>307</v>
      </c>
      <c r="C257" s="13" t="s">
        <v>20</v>
      </c>
      <c r="D257" s="30">
        <v>42856</v>
      </c>
      <c r="E257" s="13">
        <v>1</v>
      </c>
      <c r="F257" s="13">
        <v>0</v>
      </c>
      <c r="G257" s="13">
        <v>1</v>
      </c>
      <c r="H257" s="13">
        <v>1</v>
      </c>
      <c r="I257" s="13">
        <v>0</v>
      </c>
      <c r="J257" s="13">
        <v>0</v>
      </c>
      <c r="K257" s="56">
        <v>42907</v>
      </c>
      <c r="L257" s="32">
        <v>145</v>
      </c>
      <c r="M257" s="145">
        <f t="shared" si="6"/>
        <v>51</v>
      </c>
      <c r="N257" s="145">
        <f t="shared" si="7"/>
        <v>2</v>
      </c>
    </row>
    <row r="258" spans="2:14" x14ac:dyDescent="0.35">
      <c r="B258" s="10" t="s">
        <v>685</v>
      </c>
      <c r="C258" s="13" t="s">
        <v>20</v>
      </c>
      <c r="D258" s="30">
        <v>42838</v>
      </c>
      <c r="E258" s="13">
        <v>1</v>
      </c>
      <c r="F258" s="13">
        <v>0</v>
      </c>
      <c r="G258" s="13">
        <v>1</v>
      </c>
      <c r="H258" s="13">
        <v>0</v>
      </c>
      <c r="I258" s="13">
        <v>1</v>
      </c>
      <c r="J258" s="13">
        <v>0</v>
      </c>
      <c r="K258" s="55"/>
      <c r="L258" s="32"/>
      <c r="M258" s="145" t="str">
        <f t="shared" si="6"/>
        <v/>
      </c>
      <c r="N258" s="145" t="str">
        <f t="shared" si="7"/>
        <v/>
      </c>
    </row>
    <row r="259" spans="2:14" x14ac:dyDescent="0.35">
      <c r="B259" s="10" t="s">
        <v>56</v>
      </c>
      <c r="C259" s="13" t="s">
        <v>31</v>
      </c>
      <c r="D259" s="30">
        <v>42877</v>
      </c>
      <c r="E259" s="13">
        <v>1</v>
      </c>
      <c r="F259" s="13">
        <v>0</v>
      </c>
      <c r="G259" s="13">
        <v>1</v>
      </c>
      <c r="H259" s="13">
        <v>0</v>
      </c>
      <c r="I259" s="13">
        <v>1</v>
      </c>
      <c r="J259" s="13">
        <v>0</v>
      </c>
      <c r="K259" s="55"/>
      <c r="L259" s="32"/>
      <c r="M259" s="145" t="str">
        <f t="shared" si="6"/>
        <v/>
      </c>
      <c r="N259" s="145" t="str">
        <f t="shared" si="7"/>
        <v/>
      </c>
    </row>
    <row r="260" spans="2:14" x14ac:dyDescent="0.35">
      <c r="B260" s="10" t="s">
        <v>435</v>
      </c>
      <c r="C260" s="13" t="s">
        <v>20</v>
      </c>
      <c r="D260" s="30">
        <v>42843</v>
      </c>
      <c r="E260" s="13">
        <v>1</v>
      </c>
      <c r="F260" s="13">
        <v>0</v>
      </c>
      <c r="G260" s="13">
        <v>1</v>
      </c>
      <c r="H260" s="13">
        <v>0</v>
      </c>
      <c r="I260" s="13">
        <v>1</v>
      </c>
      <c r="J260" s="13">
        <v>0</v>
      </c>
      <c r="K260" s="55"/>
      <c r="L260" s="32"/>
      <c r="M260" s="145" t="str">
        <f t="shared" si="6"/>
        <v/>
      </c>
      <c r="N260" s="145" t="str">
        <f t="shared" si="7"/>
        <v/>
      </c>
    </row>
    <row r="261" spans="2:14" x14ac:dyDescent="0.35">
      <c r="B261" s="10" t="s">
        <v>605</v>
      </c>
      <c r="C261" s="13" t="s">
        <v>20</v>
      </c>
      <c r="D261" s="30">
        <v>42844</v>
      </c>
      <c r="E261" s="13">
        <v>1</v>
      </c>
      <c r="F261" s="13">
        <v>0</v>
      </c>
      <c r="G261" s="13">
        <v>1</v>
      </c>
      <c r="H261" s="13">
        <v>0</v>
      </c>
      <c r="I261" s="13">
        <v>1</v>
      </c>
      <c r="J261" s="13">
        <v>0</v>
      </c>
      <c r="K261" s="55"/>
      <c r="L261" s="32"/>
      <c r="M261" s="145" t="str">
        <f t="shared" si="6"/>
        <v/>
      </c>
      <c r="N261" s="145" t="str">
        <f t="shared" si="7"/>
        <v/>
      </c>
    </row>
    <row r="262" spans="2:14" x14ac:dyDescent="0.35">
      <c r="B262" s="10" t="s">
        <v>40</v>
      </c>
      <c r="C262" s="13" t="s">
        <v>20</v>
      </c>
      <c r="D262" s="30">
        <v>42887</v>
      </c>
      <c r="E262" s="13">
        <v>1</v>
      </c>
      <c r="F262" s="13">
        <v>0</v>
      </c>
      <c r="G262" s="13">
        <v>1</v>
      </c>
      <c r="H262" s="13">
        <v>0</v>
      </c>
      <c r="I262" s="13">
        <v>1</v>
      </c>
      <c r="J262" s="13">
        <v>0</v>
      </c>
      <c r="K262" s="55"/>
      <c r="L262" s="32"/>
      <c r="M262" s="145" t="str">
        <f t="shared" si="6"/>
        <v/>
      </c>
      <c r="N262" s="145" t="str">
        <f t="shared" si="7"/>
        <v/>
      </c>
    </row>
    <row r="263" spans="2:14" x14ac:dyDescent="0.35">
      <c r="B263" s="10" t="s">
        <v>277</v>
      </c>
      <c r="C263" s="13" t="s">
        <v>31</v>
      </c>
      <c r="D263" s="30">
        <v>42902</v>
      </c>
      <c r="E263" s="13">
        <v>1</v>
      </c>
      <c r="F263" s="13">
        <v>0</v>
      </c>
      <c r="G263" s="13">
        <v>1</v>
      </c>
      <c r="H263" s="13">
        <v>0</v>
      </c>
      <c r="I263" s="13">
        <v>1</v>
      </c>
      <c r="J263" s="13">
        <v>0</v>
      </c>
      <c r="K263" s="55"/>
      <c r="L263" s="32"/>
      <c r="M263" s="145" t="str">
        <f t="shared" ref="M263:M326" si="8">IF(K263="", "", K263-D263)</f>
        <v/>
      </c>
      <c r="N263" s="145" t="str">
        <f t="shared" ref="N263:N295" si="9">IF(F263=1,1, IF(H263=1,2, IF(J263=1,3, "")))</f>
        <v/>
      </c>
    </row>
    <row r="264" spans="2:14" x14ac:dyDescent="0.35">
      <c r="B264" s="10" t="s">
        <v>253</v>
      </c>
      <c r="C264" s="13" t="s">
        <v>20</v>
      </c>
      <c r="D264" s="30">
        <v>42865</v>
      </c>
      <c r="E264" s="13">
        <v>1</v>
      </c>
      <c r="F264" s="13">
        <v>0</v>
      </c>
      <c r="G264" s="13">
        <v>1</v>
      </c>
      <c r="H264" s="13">
        <v>0</v>
      </c>
      <c r="I264" s="13">
        <v>1</v>
      </c>
      <c r="J264" s="13">
        <v>0</v>
      </c>
      <c r="K264" s="55"/>
      <c r="L264" s="32"/>
      <c r="M264" s="145" t="str">
        <f t="shared" si="8"/>
        <v/>
      </c>
      <c r="N264" s="145" t="str">
        <f t="shared" si="9"/>
        <v/>
      </c>
    </row>
    <row r="265" spans="2:14" x14ac:dyDescent="0.35">
      <c r="B265" s="10" t="s">
        <v>729</v>
      </c>
      <c r="C265" s="13" t="s">
        <v>31</v>
      </c>
      <c r="D265" s="30">
        <v>42877</v>
      </c>
      <c r="E265" s="13">
        <v>1</v>
      </c>
      <c r="F265" s="13">
        <v>0</v>
      </c>
      <c r="G265" s="13">
        <v>1</v>
      </c>
      <c r="H265" s="13">
        <v>0</v>
      </c>
      <c r="I265" s="13">
        <v>1</v>
      </c>
      <c r="J265" s="13">
        <v>0</v>
      </c>
      <c r="K265" s="55"/>
      <c r="L265" s="32"/>
      <c r="M265" s="145" t="str">
        <f t="shared" si="8"/>
        <v/>
      </c>
      <c r="N265" s="145" t="str">
        <f t="shared" si="9"/>
        <v/>
      </c>
    </row>
    <row r="266" spans="2:14" x14ac:dyDescent="0.35">
      <c r="B266" s="10" t="s">
        <v>768</v>
      </c>
      <c r="C266" s="13" t="s">
        <v>20</v>
      </c>
      <c r="D266" s="30">
        <v>42848</v>
      </c>
      <c r="E266" s="13">
        <v>1</v>
      </c>
      <c r="F266" s="13">
        <v>0</v>
      </c>
      <c r="G266" s="13">
        <v>1</v>
      </c>
      <c r="H266" s="13">
        <v>0</v>
      </c>
      <c r="I266" s="13">
        <v>1</v>
      </c>
      <c r="J266" s="13">
        <v>0</v>
      </c>
      <c r="K266" s="55"/>
      <c r="L266" s="32"/>
      <c r="M266" s="145" t="str">
        <f t="shared" si="8"/>
        <v/>
      </c>
      <c r="N266" s="145" t="str">
        <f t="shared" si="9"/>
        <v/>
      </c>
    </row>
    <row r="267" spans="2:14" x14ac:dyDescent="0.35">
      <c r="B267" s="10" t="s">
        <v>360</v>
      </c>
      <c r="C267" s="13" t="s">
        <v>20</v>
      </c>
      <c r="D267" s="30">
        <v>42850</v>
      </c>
      <c r="E267" s="13">
        <v>1</v>
      </c>
      <c r="F267" s="13">
        <v>0</v>
      </c>
      <c r="G267" s="13">
        <v>1</v>
      </c>
      <c r="H267" s="13">
        <v>0</v>
      </c>
      <c r="I267" s="13">
        <v>1</v>
      </c>
      <c r="J267" s="13">
        <v>0</v>
      </c>
      <c r="K267" s="55"/>
      <c r="L267" s="32"/>
      <c r="M267" s="145" t="str">
        <f t="shared" si="8"/>
        <v/>
      </c>
      <c r="N267" s="145" t="str">
        <f t="shared" si="9"/>
        <v/>
      </c>
    </row>
    <row r="268" spans="2:14" x14ac:dyDescent="0.35">
      <c r="B268" s="10" t="s">
        <v>686</v>
      </c>
      <c r="C268" s="13" t="s">
        <v>20</v>
      </c>
      <c r="D268" s="30">
        <v>42880</v>
      </c>
      <c r="E268" s="13">
        <v>1</v>
      </c>
      <c r="F268" s="13">
        <v>0</v>
      </c>
      <c r="G268" s="13">
        <v>1</v>
      </c>
      <c r="H268" s="13">
        <v>0</v>
      </c>
      <c r="I268" s="13">
        <v>1</v>
      </c>
      <c r="J268" s="13">
        <v>0</v>
      </c>
      <c r="K268" s="55"/>
      <c r="L268" s="32"/>
      <c r="M268" s="145" t="str">
        <f t="shared" si="8"/>
        <v/>
      </c>
      <c r="N268" s="145" t="str">
        <f t="shared" si="9"/>
        <v/>
      </c>
    </row>
    <row r="269" spans="2:14" x14ac:dyDescent="0.35">
      <c r="B269" s="10" t="s">
        <v>381</v>
      </c>
      <c r="C269" s="13" t="s">
        <v>31</v>
      </c>
      <c r="D269" s="30">
        <v>42916</v>
      </c>
      <c r="E269" s="13">
        <v>1</v>
      </c>
      <c r="F269" s="13">
        <v>0</v>
      </c>
      <c r="G269" s="13">
        <v>1</v>
      </c>
      <c r="H269" s="13">
        <v>0</v>
      </c>
      <c r="I269" s="13">
        <v>1</v>
      </c>
      <c r="J269" s="13">
        <v>0</v>
      </c>
      <c r="K269" s="55"/>
      <c r="L269" s="32"/>
      <c r="M269" s="145" t="str">
        <f t="shared" si="8"/>
        <v/>
      </c>
      <c r="N269" s="145" t="str">
        <f t="shared" si="9"/>
        <v/>
      </c>
    </row>
    <row r="270" spans="2:14" x14ac:dyDescent="0.35">
      <c r="B270" s="10" t="s">
        <v>241</v>
      </c>
      <c r="C270" s="13" t="s">
        <v>20</v>
      </c>
      <c r="D270" s="30">
        <v>42859</v>
      </c>
      <c r="E270" s="13">
        <v>1</v>
      </c>
      <c r="F270" s="13">
        <v>0</v>
      </c>
      <c r="G270" s="13">
        <v>1</v>
      </c>
      <c r="H270" s="13">
        <v>0</v>
      </c>
      <c r="I270" s="13">
        <v>1</v>
      </c>
      <c r="J270" s="13">
        <v>0</v>
      </c>
      <c r="K270" s="55"/>
      <c r="L270" s="32"/>
      <c r="M270" s="145" t="str">
        <f t="shared" si="8"/>
        <v/>
      </c>
      <c r="N270" s="145" t="str">
        <f t="shared" si="9"/>
        <v/>
      </c>
    </row>
    <row r="271" spans="2:14" x14ac:dyDescent="0.35">
      <c r="B271" s="10" t="s">
        <v>489</v>
      </c>
      <c r="C271" s="13" t="s">
        <v>31</v>
      </c>
      <c r="D271" s="30">
        <v>42873</v>
      </c>
      <c r="E271" s="13">
        <v>1</v>
      </c>
      <c r="F271" s="13">
        <v>0</v>
      </c>
      <c r="G271" s="13">
        <v>1</v>
      </c>
      <c r="H271" s="13">
        <v>0</v>
      </c>
      <c r="I271" s="13">
        <v>1</v>
      </c>
      <c r="J271" s="13">
        <v>0</v>
      </c>
      <c r="K271" s="55"/>
      <c r="L271" s="32"/>
      <c r="M271" s="145" t="str">
        <f t="shared" si="8"/>
        <v/>
      </c>
      <c r="N271" s="145" t="str">
        <f t="shared" si="9"/>
        <v/>
      </c>
    </row>
    <row r="272" spans="2:14" x14ac:dyDescent="0.35">
      <c r="B272" s="10" t="s">
        <v>170</v>
      </c>
      <c r="C272" s="13" t="s">
        <v>20</v>
      </c>
      <c r="D272" s="30">
        <v>42847</v>
      </c>
      <c r="E272" s="13">
        <v>1</v>
      </c>
      <c r="F272" s="13">
        <v>0</v>
      </c>
      <c r="G272" s="13">
        <v>1</v>
      </c>
      <c r="H272" s="13">
        <v>0</v>
      </c>
      <c r="I272" s="13">
        <v>1</v>
      </c>
      <c r="J272" s="13">
        <v>0</v>
      </c>
      <c r="K272" s="55"/>
      <c r="L272" s="32"/>
      <c r="M272" s="145" t="str">
        <f t="shared" si="8"/>
        <v/>
      </c>
      <c r="N272" s="145" t="str">
        <f t="shared" si="9"/>
        <v/>
      </c>
    </row>
    <row r="273" spans="2:14" x14ac:dyDescent="0.35">
      <c r="B273" s="10" t="s">
        <v>225</v>
      </c>
      <c r="C273" s="13" t="s">
        <v>20</v>
      </c>
      <c r="D273" s="30">
        <v>42909</v>
      </c>
      <c r="E273" s="13">
        <v>1</v>
      </c>
      <c r="F273" s="13">
        <v>0</v>
      </c>
      <c r="G273" s="13">
        <v>1</v>
      </c>
      <c r="H273" s="13">
        <v>0</v>
      </c>
      <c r="I273" s="13">
        <v>1</v>
      </c>
      <c r="J273" s="13">
        <v>0</v>
      </c>
      <c r="K273" s="55"/>
      <c r="L273" s="32"/>
      <c r="M273" s="145" t="str">
        <f t="shared" si="8"/>
        <v/>
      </c>
      <c r="N273" s="145" t="str">
        <f t="shared" si="9"/>
        <v/>
      </c>
    </row>
    <row r="274" spans="2:14" x14ac:dyDescent="0.35">
      <c r="B274" s="10" t="s">
        <v>282</v>
      </c>
      <c r="C274" s="13" t="s">
        <v>20</v>
      </c>
      <c r="D274" s="30">
        <v>42837</v>
      </c>
      <c r="E274" s="13">
        <v>1</v>
      </c>
      <c r="F274" s="13">
        <v>0</v>
      </c>
      <c r="G274" s="13">
        <v>1</v>
      </c>
      <c r="H274" s="13">
        <v>0</v>
      </c>
      <c r="I274" s="13">
        <v>1</v>
      </c>
      <c r="J274" s="13">
        <v>0</v>
      </c>
      <c r="K274" s="55"/>
      <c r="L274" s="32"/>
      <c r="M274" s="145" t="str">
        <f t="shared" si="8"/>
        <v/>
      </c>
      <c r="N274" s="145" t="str">
        <f t="shared" si="9"/>
        <v/>
      </c>
    </row>
    <row r="275" spans="2:14" x14ac:dyDescent="0.35">
      <c r="B275" s="10" t="s">
        <v>288</v>
      </c>
      <c r="C275" s="13" t="s">
        <v>20</v>
      </c>
      <c r="D275" s="30">
        <v>42844</v>
      </c>
      <c r="E275" s="13">
        <v>1</v>
      </c>
      <c r="F275" s="13">
        <v>0</v>
      </c>
      <c r="G275" s="13">
        <v>1</v>
      </c>
      <c r="H275" s="13">
        <v>0</v>
      </c>
      <c r="I275" s="13">
        <v>1</v>
      </c>
      <c r="J275" s="13">
        <v>0</v>
      </c>
      <c r="K275" s="55"/>
      <c r="L275" s="32"/>
      <c r="M275" s="145" t="str">
        <f t="shared" si="8"/>
        <v/>
      </c>
      <c r="N275" s="145" t="str">
        <f t="shared" si="9"/>
        <v/>
      </c>
    </row>
    <row r="276" spans="2:14" x14ac:dyDescent="0.35">
      <c r="B276" s="10" t="s">
        <v>665</v>
      </c>
      <c r="C276" s="13" t="s">
        <v>20</v>
      </c>
      <c r="D276" s="30">
        <v>42842</v>
      </c>
      <c r="E276" s="13">
        <v>1</v>
      </c>
      <c r="F276" s="13">
        <v>0</v>
      </c>
      <c r="G276" s="13">
        <v>1</v>
      </c>
      <c r="H276" s="13">
        <v>0</v>
      </c>
      <c r="I276" s="13">
        <v>1</v>
      </c>
      <c r="J276" s="13">
        <v>0</v>
      </c>
      <c r="K276" s="55"/>
      <c r="L276" s="32"/>
      <c r="M276" s="145" t="str">
        <f t="shared" si="8"/>
        <v/>
      </c>
      <c r="N276" s="145" t="str">
        <f t="shared" si="9"/>
        <v/>
      </c>
    </row>
    <row r="277" spans="2:14" x14ac:dyDescent="0.35">
      <c r="B277" s="10" t="s">
        <v>472</v>
      </c>
      <c r="C277" s="13" t="s">
        <v>31</v>
      </c>
      <c r="D277" s="30">
        <v>42903</v>
      </c>
      <c r="E277" s="13">
        <v>1</v>
      </c>
      <c r="F277" s="13">
        <v>0</v>
      </c>
      <c r="G277" s="13">
        <v>1</v>
      </c>
      <c r="H277" s="13">
        <v>0</v>
      </c>
      <c r="I277" s="13">
        <v>1</v>
      </c>
      <c r="J277" s="13">
        <v>0</v>
      </c>
      <c r="K277" s="55"/>
      <c r="L277" s="32"/>
      <c r="M277" s="145" t="str">
        <f t="shared" si="8"/>
        <v/>
      </c>
      <c r="N277" s="145" t="str">
        <f t="shared" si="9"/>
        <v/>
      </c>
    </row>
    <row r="278" spans="2:14" x14ac:dyDescent="0.35">
      <c r="B278" s="10" t="s">
        <v>411</v>
      </c>
      <c r="C278" s="13" t="s">
        <v>20</v>
      </c>
      <c r="D278" s="30">
        <v>42912</v>
      </c>
      <c r="E278" s="13">
        <v>1</v>
      </c>
      <c r="F278" s="13">
        <v>0</v>
      </c>
      <c r="G278" s="13">
        <v>1</v>
      </c>
      <c r="H278" s="13">
        <v>0</v>
      </c>
      <c r="I278" s="13">
        <v>1</v>
      </c>
      <c r="J278" s="13">
        <v>0</v>
      </c>
      <c r="K278" s="55"/>
      <c r="L278" s="32"/>
      <c r="M278" s="145" t="str">
        <f t="shared" si="8"/>
        <v/>
      </c>
      <c r="N278" s="145" t="str">
        <f t="shared" si="9"/>
        <v/>
      </c>
    </row>
    <row r="279" spans="2:14" x14ac:dyDescent="0.35">
      <c r="B279" s="10" t="s">
        <v>748</v>
      </c>
      <c r="C279" s="13" t="s">
        <v>20</v>
      </c>
      <c r="D279" s="30">
        <v>42829</v>
      </c>
      <c r="E279" s="13">
        <v>1</v>
      </c>
      <c r="F279" s="13">
        <v>0</v>
      </c>
      <c r="G279" s="13">
        <v>1</v>
      </c>
      <c r="H279" s="13">
        <v>0</v>
      </c>
      <c r="I279" s="13">
        <v>1</v>
      </c>
      <c r="J279" s="13">
        <v>0</v>
      </c>
      <c r="K279" s="55"/>
      <c r="L279" s="32"/>
      <c r="M279" s="145" t="str">
        <f t="shared" si="8"/>
        <v/>
      </c>
      <c r="N279" s="145" t="str">
        <f t="shared" si="9"/>
        <v/>
      </c>
    </row>
    <row r="280" spans="2:14" x14ac:dyDescent="0.35">
      <c r="B280" s="10" t="s">
        <v>521</v>
      </c>
      <c r="C280" s="13" t="s">
        <v>20</v>
      </c>
      <c r="D280" s="30">
        <v>42858</v>
      </c>
      <c r="E280" s="13">
        <v>1</v>
      </c>
      <c r="F280" s="13">
        <v>0</v>
      </c>
      <c r="G280" s="13">
        <v>1</v>
      </c>
      <c r="H280" s="13">
        <v>0</v>
      </c>
      <c r="I280" s="13">
        <v>1</v>
      </c>
      <c r="J280" s="13">
        <v>0</v>
      </c>
      <c r="K280" s="55"/>
      <c r="L280" s="32"/>
      <c r="M280" s="145" t="str">
        <f t="shared" si="8"/>
        <v/>
      </c>
      <c r="N280" s="145" t="str">
        <f t="shared" si="9"/>
        <v/>
      </c>
    </row>
    <row r="281" spans="2:14" x14ac:dyDescent="0.35">
      <c r="B281" s="10" t="s">
        <v>565</v>
      </c>
      <c r="C281" s="13" t="s">
        <v>20</v>
      </c>
      <c r="D281" s="30">
        <v>42889</v>
      </c>
      <c r="E281" s="13">
        <v>1</v>
      </c>
      <c r="F281" s="13">
        <v>0</v>
      </c>
      <c r="G281" s="13">
        <v>1</v>
      </c>
      <c r="H281" s="13">
        <v>0</v>
      </c>
      <c r="I281" s="13">
        <v>1</v>
      </c>
      <c r="J281" s="13">
        <v>0</v>
      </c>
      <c r="K281" s="55"/>
      <c r="L281" s="32"/>
      <c r="M281" s="145" t="str">
        <f t="shared" si="8"/>
        <v/>
      </c>
      <c r="N281" s="145" t="str">
        <f t="shared" si="9"/>
        <v/>
      </c>
    </row>
    <row r="282" spans="2:14" x14ac:dyDescent="0.35">
      <c r="B282" s="10" t="s">
        <v>412</v>
      </c>
      <c r="C282" s="13" t="s">
        <v>20</v>
      </c>
      <c r="D282" s="30">
        <v>42839</v>
      </c>
      <c r="E282" s="13">
        <v>1</v>
      </c>
      <c r="F282" s="13">
        <v>0</v>
      </c>
      <c r="G282" s="13">
        <v>1</v>
      </c>
      <c r="H282" s="13">
        <v>0</v>
      </c>
      <c r="I282" s="13">
        <v>1</v>
      </c>
      <c r="J282" s="13">
        <v>0</v>
      </c>
      <c r="K282" s="55"/>
      <c r="L282" s="32"/>
      <c r="M282" s="145" t="str">
        <f t="shared" si="8"/>
        <v/>
      </c>
      <c r="N282" s="145" t="str">
        <f t="shared" si="9"/>
        <v/>
      </c>
    </row>
    <row r="283" spans="2:14" x14ac:dyDescent="0.35">
      <c r="B283" s="10" t="s">
        <v>613</v>
      </c>
      <c r="C283" s="13" t="s">
        <v>31</v>
      </c>
      <c r="D283" s="30">
        <v>42836</v>
      </c>
      <c r="E283" s="13">
        <v>1</v>
      </c>
      <c r="F283" s="13">
        <v>0</v>
      </c>
      <c r="G283" s="13">
        <v>1</v>
      </c>
      <c r="H283" s="13">
        <v>0</v>
      </c>
      <c r="I283" s="13">
        <v>1</v>
      </c>
      <c r="J283" s="13">
        <v>0</v>
      </c>
      <c r="K283" s="55"/>
      <c r="L283" s="32"/>
      <c r="M283" s="145" t="str">
        <f t="shared" si="8"/>
        <v/>
      </c>
      <c r="N283" s="145" t="str">
        <f t="shared" si="9"/>
        <v/>
      </c>
    </row>
    <row r="284" spans="2:14" x14ac:dyDescent="0.35">
      <c r="B284" s="10" t="s">
        <v>50</v>
      </c>
      <c r="C284" s="13" t="s">
        <v>20</v>
      </c>
      <c r="D284" s="30">
        <v>42895</v>
      </c>
      <c r="E284" s="13">
        <v>1</v>
      </c>
      <c r="F284" s="13">
        <v>0</v>
      </c>
      <c r="G284" s="13">
        <v>1</v>
      </c>
      <c r="H284" s="13">
        <v>0</v>
      </c>
      <c r="I284" s="13">
        <v>1</v>
      </c>
      <c r="J284" s="13">
        <v>0</v>
      </c>
      <c r="K284" s="55"/>
      <c r="L284" s="32"/>
      <c r="M284" s="145" t="str">
        <f t="shared" si="8"/>
        <v/>
      </c>
      <c r="N284" s="145" t="str">
        <f t="shared" si="9"/>
        <v/>
      </c>
    </row>
    <row r="285" spans="2:14" x14ac:dyDescent="0.35">
      <c r="B285" s="10" t="s">
        <v>383</v>
      </c>
      <c r="C285" s="13" t="s">
        <v>31</v>
      </c>
      <c r="D285" s="30">
        <v>42889</v>
      </c>
      <c r="E285" s="13">
        <v>1</v>
      </c>
      <c r="F285" s="13">
        <v>0</v>
      </c>
      <c r="G285" s="13">
        <v>1</v>
      </c>
      <c r="H285" s="13">
        <v>0</v>
      </c>
      <c r="I285" s="13">
        <v>1</v>
      </c>
      <c r="J285" s="13">
        <v>0</v>
      </c>
      <c r="K285" s="55"/>
      <c r="L285" s="32"/>
      <c r="M285" s="145" t="str">
        <f t="shared" si="8"/>
        <v/>
      </c>
      <c r="N285" s="145" t="str">
        <f t="shared" si="9"/>
        <v/>
      </c>
    </row>
    <row r="286" spans="2:14" x14ac:dyDescent="0.35">
      <c r="B286" s="10" t="s">
        <v>699</v>
      </c>
      <c r="C286" s="13" t="s">
        <v>20</v>
      </c>
      <c r="D286" s="30">
        <v>42901</v>
      </c>
      <c r="E286" s="13">
        <v>1</v>
      </c>
      <c r="F286" s="13">
        <v>0</v>
      </c>
      <c r="G286" s="13">
        <v>1</v>
      </c>
      <c r="H286" s="13">
        <v>0</v>
      </c>
      <c r="I286" s="13">
        <v>1</v>
      </c>
      <c r="J286" s="13">
        <v>0</v>
      </c>
      <c r="K286" s="55"/>
      <c r="L286" s="32"/>
      <c r="M286" s="145" t="str">
        <f t="shared" si="8"/>
        <v/>
      </c>
      <c r="N286" s="145" t="str">
        <f t="shared" si="9"/>
        <v/>
      </c>
    </row>
    <row r="287" spans="2:14" x14ac:dyDescent="0.35">
      <c r="B287" s="10" t="s">
        <v>584</v>
      </c>
      <c r="C287" s="13" t="s">
        <v>20</v>
      </c>
      <c r="D287" s="30">
        <v>42845</v>
      </c>
      <c r="E287" s="13">
        <v>1</v>
      </c>
      <c r="F287" s="13">
        <v>0</v>
      </c>
      <c r="G287" s="13">
        <v>1</v>
      </c>
      <c r="H287" s="13">
        <v>0</v>
      </c>
      <c r="I287" s="13">
        <v>1</v>
      </c>
      <c r="J287" s="13">
        <v>0</v>
      </c>
      <c r="K287" s="55"/>
      <c r="L287" s="32"/>
      <c r="M287" s="145" t="str">
        <f t="shared" si="8"/>
        <v/>
      </c>
      <c r="N287" s="145" t="str">
        <f t="shared" si="9"/>
        <v/>
      </c>
    </row>
    <row r="288" spans="2:14" x14ac:dyDescent="0.35">
      <c r="B288" s="10" t="s">
        <v>441</v>
      </c>
      <c r="C288" s="13" t="s">
        <v>20</v>
      </c>
      <c r="D288" s="30">
        <v>42911</v>
      </c>
      <c r="E288" s="13">
        <v>1</v>
      </c>
      <c r="F288" s="13">
        <v>0</v>
      </c>
      <c r="G288" s="13">
        <v>1</v>
      </c>
      <c r="H288" s="13">
        <v>0</v>
      </c>
      <c r="I288" s="13">
        <v>1</v>
      </c>
      <c r="J288" s="13">
        <v>0</v>
      </c>
      <c r="K288" s="55"/>
      <c r="L288" s="32"/>
      <c r="M288" s="145" t="str">
        <f t="shared" si="8"/>
        <v/>
      </c>
      <c r="N288" s="145" t="str">
        <f t="shared" si="9"/>
        <v/>
      </c>
    </row>
    <row r="289" spans="2:14" x14ac:dyDescent="0.35">
      <c r="B289" s="10" t="s">
        <v>971</v>
      </c>
      <c r="C289" s="13" t="s">
        <v>20</v>
      </c>
      <c r="D289" s="30">
        <v>42859</v>
      </c>
      <c r="E289" s="13">
        <v>1</v>
      </c>
      <c r="F289" s="13">
        <v>0</v>
      </c>
      <c r="G289" s="13">
        <v>1</v>
      </c>
      <c r="H289" s="13">
        <v>0</v>
      </c>
      <c r="I289" s="13">
        <v>1</v>
      </c>
      <c r="J289" s="13">
        <v>0</v>
      </c>
      <c r="K289" s="55"/>
      <c r="L289" s="32"/>
      <c r="M289" s="145" t="str">
        <f t="shared" si="8"/>
        <v/>
      </c>
      <c r="N289" s="145" t="str">
        <f t="shared" si="9"/>
        <v/>
      </c>
    </row>
    <row r="290" spans="2:14" x14ac:dyDescent="0.35">
      <c r="B290" s="10" t="s">
        <v>759</v>
      </c>
      <c r="C290" s="13" t="s">
        <v>20</v>
      </c>
      <c r="D290" s="30">
        <v>42909</v>
      </c>
      <c r="E290" s="13">
        <v>1</v>
      </c>
      <c r="F290" s="13">
        <v>0</v>
      </c>
      <c r="G290" s="13">
        <v>1</v>
      </c>
      <c r="H290" s="13">
        <v>0</v>
      </c>
      <c r="I290" s="13">
        <v>1</v>
      </c>
      <c r="J290" s="13">
        <v>0</v>
      </c>
      <c r="K290" s="55"/>
      <c r="L290" s="32"/>
      <c r="M290" s="145" t="str">
        <f t="shared" si="8"/>
        <v/>
      </c>
      <c r="N290" s="145" t="str">
        <f t="shared" si="9"/>
        <v/>
      </c>
    </row>
    <row r="291" spans="2:14" x14ac:dyDescent="0.35">
      <c r="B291" s="10" t="s">
        <v>242</v>
      </c>
      <c r="C291" s="13" t="s">
        <v>20</v>
      </c>
      <c r="D291" s="30">
        <v>42838</v>
      </c>
      <c r="E291" s="13">
        <v>1</v>
      </c>
      <c r="F291" s="13">
        <v>0</v>
      </c>
      <c r="G291" s="13">
        <v>1</v>
      </c>
      <c r="H291" s="13">
        <v>0</v>
      </c>
      <c r="I291" s="13">
        <v>1</v>
      </c>
      <c r="J291" s="13">
        <v>0</v>
      </c>
      <c r="K291" s="55"/>
      <c r="L291" s="32"/>
      <c r="M291" s="145" t="str">
        <f t="shared" si="8"/>
        <v/>
      </c>
      <c r="N291" s="145" t="str">
        <f t="shared" si="9"/>
        <v/>
      </c>
    </row>
    <row r="292" spans="2:14" x14ac:dyDescent="0.35">
      <c r="B292" s="10" t="s">
        <v>125</v>
      </c>
      <c r="C292" s="13" t="s">
        <v>31</v>
      </c>
      <c r="D292" s="30">
        <v>42830</v>
      </c>
      <c r="E292" s="13">
        <v>1</v>
      </c>
      <c r="F292" s="13">
        <v>0</v>
      </c>
      <c r="G292" s="13">
        <v>1</v>
      </c>
      <c r="H292" s="13">
        <v>0</v>
      </c>
      <c r="I292" s="13">
        <v>1</v>
      </c>
      <c r="J292" s="13">
        <v>0</v>
      </c>
      <c r="K292" s="55"/>
      <c r="L292" s="32"/>
      <c r="M292" s="145" t="str">
        <f t="shared" si="8"/>
        <v/>
      </c>
      <c r="N292" s="145" t="str">
        <f t="shared" si="9"/>
        <v/>
      </c>
    </row>
    <row r="293" spans="2:14" x14ac:dyDescent="0.35">
      <c r="B293" s="10" t="s">
        <v>94</v>
      </c>
      <c r="C293" s="13" t="s">
        <v>31</v>
      </c>
      <c r="D293" s="30">
        <v>42869</v>
      </c>
      <c r="E293" s="13">
        <v>1</v>
      </c>
      <c r="F293" s="13">
        <v>0</v>
      </c>
      <c r="G293" s="13">
        <v>1</v>
      </c>
      <c r="H293" s="13">
        <v>0</v>
      </c>
      <c r="I293" s="13">
        <v>1</v>
      </c>
      <c r="J293" s="13">
        <v>0</v>
      </c>
      <c r="K293" s="55"/>
      <c r="L293" s="32"/>
      <c r="M293" s="145" t="str">
        <f t="shared" si="8"/>
        <v/>
      </c>
      <c r="N293" s="145" t="str">
        <f t="shared" si="9"/>
        <v/>
      </c>
    </row>
    <row r="294" spans="2:14" x14ac:dyDescent="0.35">
      <c r="B294" s="10" t="s">
        <v>217</v>
      </c>
      <c r="C294" s="13" t="s">
        <v>31</v>
      </c>
      <c r="D294" s="30">
        <v>42875</v>
      </c>
      <c r="E294" s="13">
        <v>1</v>
      </c>
      <c r="F294" s="13">
        <v>0</v>
      </c>
      <c r="G294" s="13">
        <v>1</v>
      </c>
      <c r="H294" s="13">
        <v>0</v>
      </c>
      <c r="I294" s="13">
        <v>1</v>
      </c>
      <c r="J294" s="13">
        <v>0</v>
      </c>
      <c r="K294" s="55"/>
      <c r="L294" s="32"/>
      <c r="M294" s="145" t="str">
        <f t="shared" si="8"/>
        <v/>
      </c>
      <c r="N294" s="145" t="str">
        <f t="shared" si="9"/>
        <v/>
      </c>
    </row>
    <row r="295" spans="2:14" x14ac:dyDescent="0.35">
      <c r="B295" s="10" t="s">
        <v>204</v>
      </c>
      <c r="C295" s="13" t="s">
        <v>20</v>
      </c>
      <c r="D295" s="30">
        <v>42837</v>
      </c>
      <c r="E295" s="13">
        <v>1</v>
      </c>
      <c r="F295" s="13">
        <v>0</v>
      </c>
      <c r="G295" s="13">
        <v>1</v>
      </c>
      <c r="H295" s="13">
        <v>0</v>
      </c>
      <c r="I295" s="13">
        <v>1</v>
      </c>
      <c r="J295" s="13">
        <v>0</v>
      </c>
      <c r="K295" s="55"/>
      <c r="L295" s="32"/>
      <c r="M295" s="145" t="str">
        <f t="shared" si="8"/>
        <v/>
      </c>
      <c r="N295" s="145" t="str">
        <f t="shared" si="9"/>
        <v/>
      </c>
    </row>
    <row r="296" spans="2:14" x14ac:dyDescent="0.35">
      <c r="B296" s="10" t="s">
        <v>236</v>
      </c>
      <c r="C296" s="13" t="s">
        <v>20</v>
      </c>
      <c r="D296" s="30">
        <v>42864</v>
      </c>
      <c r="E296" s="13">
        <v>1</v>
      </c>
      <c r="F296" s="13">
        <v>0</v>
      </c>
      <c r="G296" s="13">
        <v>1</v>
      </c>
      <c r="H296" s="13">
        <v>0</v>
      </c>
      <c r="I296" s="13">
        <v>1</v>
      </c>
      <c r="J296" s="13">
        <v>0</v>
      </c>
      <c r="K296" s="55"/>
      <c r="L296" s="32"/>
      <c r="M296" s="145" t="str">
        <f t="shared" si="8"/>
        <v/>
      </c>
    </row>
    <row r="297" spans="2:14" x14ac:dyDescent="0.35">
      <c r="B297" s="10" t="s">
        <v>49</v>
      </c>
      <c r="C297" s="13" t="s">
        <v>31</v>
      </c>
      <c r="D297" s="30">
        <v>42901</v>
      </c>
      <c r="E297" s="13">
        <v>1</v>
      </c>
      <c r="F297" s="13">
        <v>0</v>
      </c>
      <c r="G297" s="13">
        <v>1</v>
      </c>
      <c r="H297" s="13">
        <v>0</v>
      </c>
      <c r="I297" s="13">
        <v>1</v>
      </c>
      <c r="J297" s="13">
        <v>0</v>
      </c>
      <c r="K297" s="55"/>
      <c r="L297" s="32"/>
      <c r="M297" s="145" t="str">
        <f t="shared" si="8"/>
        <v/>
      </c>
    </row>
    <row r="298" spans="2:14" x14ac:dyDescent="0.35">
      <c r="B298" s="10" t="s">
        <v>518</v>
      </c>
      <c r="C298" s="13" t="s">
        <v>20</v>
      </c>
      <c r="D298" s="30">
        <v>42856</v>
      </c>
      <c r="E298" s="13">
        <v>1</v>
      </c>
      <c r="F298" s="13">
        <v>0</v>
      </c>
      <c r="G298" s="13">
        <v>1</v>
      </c>
      <c r="H298" s="13">
        <v>0</v>
      </c>
      <c r="I298" s="13">
        <v>1</v>
      </c>
      <c r="J298" s="13">
        <v>0</v>
      </c>
      <c r="K298" s="55"/>
      <c r="L298" s="32"/>
      <c r="M298" s="145" t="str">
        <f t="shared" si="8"/>
        <v/>
      </c>
    </row>
    <row r="299" spans="2:14" x14ac:dyDescent="0.35">
      <c r="B299" s="10" t="s">
        <v>153</v>
      </c>
      <c r="C299" s="13" t="s">
        <v>20</v>
      </c>
      <c r="D299" s="30">
        <v>42857</v>
      </c>
      <c r="E299" s="13">
        <v>1</v>
      </c>
      <c r="F299" s="13">
        <v>0</v>
      </c>
      <c r="G299" s="13">
        <v>1</v>
      </c>
      <c r="H299" s="13">
        <v>0</v>
      </c>
      <c r="I299" s="13">
        <v>1</v>
      </c>
      <c r="J299" s="13">
        <v>0</v>
      </c>
      <c r="K299" s="55"/>
      <c r="L299" s="32"/>
      <c r="M299" s="145" t="str">
        <f t="shared" si="8"/>
        <v/>
      </c>
    </row>
    <row r="300" spans="2:14" x14ac:dyDescent="0.35">
      <c r="B300" s="10" t="s">
        <v>427</v>
      </c>
      <c r="C300" s="13" t="s">
        <v>31</v>
      </c>
      <c r="D300" s="30">
        <v>42843</v>
      </c>
      <c r="E300" s="13">
        <v>1</v>
      </c>
      <c r="F300" s="13">
        <v>0</v>
      </c>
      <c r="G300" s="13">
        <v>1</v>
      </c>
      <c r="H300" s="13">
        <v>0</v>
      </c>
      <c r="I300" s="13">
        <v>1</v>
      </c>
      <c r="J300" s="13">
        <v>0</v>
      </c>
      <c r="K300" s="55"/>
      <c r="L300" s="32"/>
      <c r="M300" s="145" t="str">
        <f t="shared" si="8"/>
        <v/>
      </c>
    </row>
    <row r="301" spans="2:14" x14ac:dyDescent="0.35">
      <c r="B301" s="10" t="s">
        <v>144</v>
      </c>
      <c r="C301" s="13" t="s">
        <v>20</v>
      </c>
      <c r="D301" s="30">
        <v>42910</v>
      </c>
      <c r="E301" s="13">
        <v>1</v>
      </c>
      <c r="F301" s="13">
        <v>0</v>
      </c>
      <c r="G301" s="13">
        <v>1</v>
      </c>
      <c r="H301" s="13">
        <v>0</v>
      </c>
      <c r="I301" s="13">
        <v>1</v>
      </c>
      <c r="J301" s="13">
        <v>0</v>
      </c>
      <c r="K301" s="55"/>
      <c r="L301" s="32"/>
      <c r="M301" s="145" t="str">
        <f t="shared" si="8"/>
        <v/>
      </c>
    </row>
    <row r="302" spans="2:14" x14ac:dyDescent="0.35">
      <c r="B302" s="10" t="s">
        <v>159</v>
      </c>
      <c r="C302" s="13" t="s">
        <v>20</v>
      </c>
      <c r="D302" s="30">
        <v>42889</v>
      </c>
      <c r="E302" s="13">
        <v>1</v>
      </c>
      <c r="F302" s="13">
        <v>0</v>
      </c>
      <c r="G302" s="13">
        <v>1</v>
      </c>
      <c r="H302" s="13">
        <v>0</v>
      </c>
      <c r="I302" s="13">
        <v>1</v>
      </c>
      <c r="J302" s="13">
        <v>0</v>
      </c>
      <c r="K302" s="55"/>
      <c r="L302" s="32"/>
      <c r="M302" s="145" t="str">
        <f t="shared" si="8"/>
        <v/>
      </c>
    </row>
    <row r="303" spans="2:14" x14ac:dyDescent="0.35">
      <c r="B303" s="10" t="s">
        <v>41</v>
      </c>
      <c r="C303" s="13" t="s">
        <v>31</v>
      </c>
      <c r="D303" s="30">
        <v>42845</v>
      </c>
      <c r="E303" s="13">
        <v>1</v>
      </c>
      <c r="F303" s="13">
        <v>0</v>
      </c>
      <c r="G303" s="13">
        <v>1</v>
      </c>
      <c r="H303" s="13">
        <v>0</v>
      </c>
      <c r="I303" s="13">
        <v>1</v>
      </c>
      <c r="J303" s="13">
        <v>0</v>
      </c>
      <c r="K303" s="55"/>
      <c r="L303" s="32"/>
      <c r="M303" s="145" t="str">
        <f t="shared" si="8"/>
        <v/>
      </c>
    </row>
    <row r="304" spans="2:14" x14ac:dyDescent="0.35">
      <c r="B304" s="10" t="s">
        <v>560</v>
      </c>
      <c r="C304" s="13" t="s">
        <v>31</v>
      </c>
      <c r="D304" s="30">
        <v>42829</v>
      </c>
      <c r="E304" s="13">
        <v>1</v>
      </c>
      <c r="F304" s="13">
        <v>0</v>
      </c>
      <c r="G304" s="13">
        <v>1</v>
      </c>
      <c r="H304" s="13">
        <v>0</v>
      </c>
      <c r="I304" s="13">
        <v>1</v>
      </c>
      <c r="J304" s="13">
        <v>0</v>
      </c>
      <c r="K304" s="55"/>
      <c r="L304" s="32"/>
      <c r="M304" s="145" t="str">
        <f t="shared" si="8"/>
        <v/>
      </c>
    </row>
    <row r="305" spans="2:13" x14ac:dyDescent="0.35">
      <c r="B305" s="10" t="s">
        <v>308</v>
      </c>
      <c r="C305" s="13" t="s">
        <v>20</v>
      </c>
      <c r="D305" s="30">
        <v>42902</v>
      </c>
      <c r="E305" s="13">
        <v>1</v>
      </c>
      <c r="F305" s="13">
        <v>0</v>
      </c>
      <c r="G305" s="13">
        <v>1</v>
      </c>
      <c r="H305" s="13">
        <v>0</v>
      </c>
      <c r="I305" s="13">
        <v>1</v>
      </c>
      <c r="J305" s="13">
        <v>0</v>
      </c>
      <c r="K305" s="55"/>
      <c r="L305" s="32"/>
      <c r="M305" s="145" t="str">
        <f t="shared" si="8"/>
        <v/>
      </c>
    </row>
    <row r="306" spans="2:13" x14ac:dyDescent="0.35">
      <c r="B306" s="10" t="s">
        <v>273</v>
      </c>
      <c r="C306" s="13" t="s">
        <v>31</v>
      </c>
      <c r="D306" s="30">
        <v>42878</v>
      </c>
      <c r="E306" s="13">
        <v>1</v>
      </c>
      <c r="F306" s="13">
        <v>0</v>
      </c>
      <c r="G306" s="13">
        <v>1</v>
      </c>
      <c r="H306" s="13">
        <v>0</v>
      </c>
      <c r="I306" s="13">
        <v>1</v>
      </c>
      <c r="J306" s="13">
        <v>0</v>
      </c>
      <c r="K306" s="55"/>
      <c r="L306" s="32"/>
      <c r="M306" s="145" t="str">
        <f t="shared" si="8"/>
        <v/>
      </c>
    </row>
    <row r="307" spans="2:13" x14ac:dyDescent="0.35">
      <c r="B307" s="10" t="s">
        <v>593</v>
      </c>
      <c r="C307" s="13" t="s">
        <v>20</v>
      </c>
      <c r="D307" s="30">
        <v>42862</v>
      </c>
      <c r="E307" s="13">
        <v>1</v>
      </c>
      <c r="F307" s="13">
        <v>0</v>
      </c>
      <c r="G307" s="13">
        <v>1</v>
      </c>
      <c r="H307" s="13">
        <v>0</v>
      </c>
      <c r="I307" s="13">
        <v>1</v>
      </c>
      <c r="J307" s="13">
        <v>0</v>
      </c>
      <c r="K307" s="55"/>
      <c r="L307" s="32"/>
      <c r="M307" s="145" t="str">
        <f t="shared" si="8"/>
        <v/>
      </c>
    </row>
    <row r="308" spans="2:13" x14ac:dyDescent="0.35">
      <c r="B308" s="10" t="s">
        <v>154</v>
      </c>
      <c r="C308" s="13" t="s">
        <v>31</v>
      </c>
      <c r="D308" s="30">
        <v>42835</v>
      </c>
      <c r="E308" s="13">
        <v>1</v>
      </c>
      <c r="F308" s="13">
        <v>0</v>
      </c>
      <c r="G308" s="13">
        <v>1</v>
      </c>
      <c r="H308" s="13">
        <v>0</v>
      </c>
      <c r="I308" s="13">
        <v>1</v>
      </c>
      <c r="J308" s="13">
        <v>0</v>
      </c>
      <c r="K308" s="55"/>
      <c r="L308" s="32"/>
      <c r="M308" s="145" t="str">
        <f t="shared" si="8"/>
        <v/>
      </c>
    </row>
    <row r="309" spans="2:13" x14ac:dyDescent="0.35">
      <c r="B309" s="10" t="s">
        <v>735</v>
      </c>
      <c r="C309" s="13" t="s">
        <v>31</v>
      </c>
      <c r="D309" s="30">
        <v>42836</v>
      </c>
      <c r="E309" s="13">
        <v>1</v>
      </c>
      <c r="F309" s="13">
        <v>0</v>
      </c>
      <c r="G309" s="13">
        <v>1</v>
      </c>
      <c r="H309" s="13">
        <v>0</v>
      </c>
      <c r="I309" s="13">
        <v>1</v>
      </c>
      <c r="J309" s="13">
        <v>0</v>
      </c>
      <c r="K309" s="55"/>
      <c r="L309" s="32"/>
      <c r="M309" s="145" t="str">
        <f t="shared" si="8"/>
        <v/>
      </c>
    </row>
    <row r="310" spans="2:13" x14ac:dyDescent="0.35">
      <c r="B310" s="10" t="s">
        <v>611</v>
      </c>
      <c r="C310" s="13" t="s">
        <v>31</v>
      </c>
      <c r="D310" s="30">
        <v>42850</v>
      </c>
      <c r="E310" s="13">
        <v>1</v>
      </c>
      <c r="F310" s="13">
        <v>0</v>
      </c>
      <c r="G310" s="13">
        <v>1</v>
      </c>
      <c r="H310" s="13">
        <v>0</v>
      </c>
      <c r="I310" s="13">
        <v>1</v>
      </c>
      <c r="J310" s="13">
        <v>0</v>
      </c>
      <c r="K310" s="55"/>
      <c r="L310" s="32"/>
      <c r="M310" s="145" t="str">
        <f t="shared" si="8"/>
        <v/>
      </c>
    </row>
    <row r="311" spans="2:13" x14ac:dyDescent="0.35">
      <c r="B311" s="10" t="s">
        <v>161</v>
      </c>
      <c r="C311" s="13" t="s">
        <v>20</v>
      </c>
      <c r="D311" s="30">
        <v>42852</v>
      </c>
      <c r="E311" s="13">
        <v>1</v>
      </c>
      <c r="F311" s="13">
        <v>0</v>
      </c>
      <c r="G311" s="13">
        <v>1</v>
      </c>
      <c r="H311" s="13">
        <v>0</v>
      </c>
      <c r="I311" s="13">
        <v>1</v>
      </c>
      <c r="J311" s="13">
        <v>0</v>
      </c>
      <c r="K311" s="55"/>
      <c r="L311" s="32"/>
      <c r="M311" s="145" t="str">
        <f t="shared" si="8"/>
        <v/>
      </c>
    </row>
    <row r="312" spans="2:13" x14ac:dyDescent="0.35">
      <c r="B312" s="10" t="s">
        <v>717</v>
      </c>
      <c r="C312" s="13" t="s">
        <v>20</v>
      </c>
      <c r="D312" s="30">
        <v>42881</v>
      </c>
      <c r="E312" s="13">
        <v>1</v>
      </c>
      <c r="F312" s="13">
        <v>0</v>
      </c>
      <c r="G312" s="13">
        <v>1</v>
      </c>
      <c r="H312" s="13">
        <v>0</v>
      </c>
      <c r="I312" s="13">
        <v>1</v>
      </c>
      <c r="J312" s="13">
        <v>0</v>
      </c>
      <c r="K312" s="55"/>
      <c r="L312" s="32"/>
      <c r="M312" s="145" t="str">
        <f t="shared" si="8"/>
        <v/>
      </c>
    </row>
    <row r="313" spans="2:13" x14ac:dyDescent="0.35">
      <c r="B313" s="10" t="s">
        <v>187</v>
      </c>
      <c r="C313" s="13" t="s">
        <v>31</v>
      </c>
      <c r="D313" s="30">
        <v>42870</v>
      </c>
      <c r="E313" s="13">
        <v>1</v>
      </c>
      <c r="F313" s="13">
        <v>0</v>
      </c>
      <c r="G313" s="13">
        <v>1</v>
      </c>
      <c r="H313" s="13">
        <v>0</v>
      </c>
      <c r="I313" s="13">
        <v>1</v>
      </c>
      <c r="J313" s="13">
        <v>0</v>
      </c>
      <c r="K313" s="55"/>
      <c r="L313" s="32"/>
      <c r="M313" s="145" t="str">
        <f t="shared" si="8"/>
        <v/>
      </c>
    </row>
    <row r="314" spans="2:13" x14ac:dyDescent="0.35">
      <c r="B314" s="10" t="s">
        <v>121</v>
      </c>
      <c r="C314" s="13" t="s">
        <v>31</v>
      </c>
      <c r="D314" s="30">
        <v>42896</v>
      </c>
      <c r="E314" s="13">
        <v>1</v>
      </c>
      <c r="F314" s="13">
        <v>0</v>
      </c>
      <c r="G314" s="13">
        <v>1</v>
      </c>
      <c r="H314" s="13">
        <v>0</v>
      </c>
      <c r="I314" s="13">
        <v>1</v>
      </c>
      <c r="J314" s="13">
        <v>0</v>
      </c>
      <c r="K314" s="55"/>
      <c r="L314" s="32"/>
      <c r="M314" s="145" t="str">
        <f t="shared" si="8"/>
        <v/>
      </c>
    </row>
    <row r="315" spans="2:13" x14ac:dyDescent="0.35">
      <c r="B315" s="10" t="s">
        <v>72</v>
      </c>
      <c r="C315" s="13" t="s">
        <v>31</v>
      </c>
      <c r="D315" s="30">
        <v>42839</v>
      </c>
      <c r="E315" s="13">
        <v>1</v>
      </c>
      <c r="F315" s="13">
        <v>0</v>
      </c>
      <c r="G315" s="13">
        <v>1</v>
      </c>
      <c r="H315" s="13">
        <v>0</v>
      </c>
      <c r="I315" s="13">
        <v>1</v>
      </c>
      <c r="J315" s="13">
        <v>0</v>
      </c>
      <c r="K315" s="55"/>
      <c r="L315" s="32"/>
      <c r="M315" s="145" t="str">
        <f t="shared" si="8"/>
        <v/>
      </c>
    </row>
    <row r="316" spans="2:13" x14ac:dyDescent="0.35">
      <c r="B316" s="10" t="s">
        <v>778</v>
      </c>
      <c r="C316" s="13" t="s">
        <v>31</v>
      </c>
      <c r="D316" s="30">
        <v>42881</v>
      </c>
      <c r="E316" s="13">
        <v>1</v>
      </c>
      <c r="F316" s="13">
        <v>0</v>
      </c>
      <c r="G316" s="13">
        <v>1</v>
      </c>
      <c r="H316" s="13">
        <v>0</v>
      </c>
      <c r="I316" s="13">
        <v>1</v>
      </c>
      <c r="J316" s="13">
        <v>0</v>
      </c>
      <c r="K316" s="55"/>
      <c r="L316" s="32"/>
      <c r="M316" s="145" t="str">
        <f t="shared" si="8"/>
        <v/>
      </c>
    </row>
    <row r="317" spans="2:13" x14ac:dyDescent="0.35">
      <c r="B317" s="10" t="s">
        <v>478</v>
      </c>
      <c r="C317" s="13" t="s">
        <v>20</v>
      </c>
      <c r="D317" s="30">
        <v>42844</v>
      </c>
      <c r="E317" s="13">
        <v>1</v>
      </c>
      <c r="F317" s="13">
        <v>0</v>
      </c>
      <c r="G317" s="13">
        <v>1</v>
      </c>
      <c r="H317" s="13">
        <v>0</v>
      </c>
      <c r="I317" s="13">
        <v>1</v>
      </c>
      <c r="J317" s="13">
        <v>0</v>
      </c>
      <c r="K317" s="55"/>
      <c r="L317" s="32"/>
      <c r="M317" s="145" t="str">
        <f t="shared" si="8"/>
        <v/>
      </c>
    </row>
    <row r="318" spans="2:13" x14ac:dyDescent="0.35">
      <c r="B318" s="10" t="s">
        <v>720</v>
      </c>
      <c r="C318" s="13" t="s">
        <v>20</v>
      </c>
      <c r="D318" s="30">
        <v>42907</v>
      </c>
      <c r="E318" s="13">
        <v>1</v>
      </c>
      <c r="F318" s="13">
        <v>0</v>
      </c>
      <c r="G318" s="13">
        <v>1</v>
      </c>
      <c r="H318" s="13">
        <v>0</v>
      </c>
      <c r="I318" s="13">
        <v>1</v>
      </c>
      <c r="J318" s="13">
        <v>0</v>
      </c>
      <c r="K318" s="55"/>
      <c r="L318" s="32"/>
      <c r="M318" s="145" t="str">
        <f t="shared" si="8"/>
        <v/>
      </c>
    </row>
    <row r="319" spans="2:13" x14ac:dyDescent="0.35">
      <c r="B319" s="10" t="s">
        <v>175</v>
      </c>
      <c r="C319" s="13" t="s">
        <v>31</v>
      </c>
      <c r="D319" s="30">
        <v>42881</v>
      </c>
      <c r="E319" s="13">
        <v>1</v>
      </c>
      <c r="F319" s="13">
        <v>0</v>
      </c>
      <c r="G319" s="13">
        <v>1</v>
      </c>
      <c r="H319" s="13">
        <v>0</v>
      </c>
      <c r="I319" s="13">
        <v>1</v>
      </c>
      <c r="J319" s="13">
        <v>0</v>
      </c>
      <c r="K319" s="55"/>
      <c r="L319" s="32"/>
      <c r="M319" s="145" t="str">
        <f t="shared" si="8"/>
        <v/>
      </c>
    </row>
    <row r="320" spans="2:13" x14ac:dyDescent="0.35">
      <c r="B320" s="10" t="s">
        <v>272</v>
      </c>
      <c r="C320" s="13" t="s">
        <v>20</v>
      </c>
      <c r="D320" s="30">
        <v>42846</v>
      </c>
      <c r="E320" s="13">
        <v>1</v>
      </c>
      <c r="F320" s="13">
        <v>0</v>
      </c>
      <c r="G320" s="13">
        <v>1</v>
      </c>
      <c r="H320" s="13">
        <v>0</v>
      </c>
      <c r="I320" s="13">
        <v>1</v>
      </c>
      <c r="J320" s="13">
        <v>0</v>
      </c>
      <c r="K320" s="55"/>
      <c r="L320" s="32"/>
      <c r="M320" s="145" t="str">
        <f t="shared" si="8"/>
        <v/>
      </c>
    </row>
    <row r="321" spans="2:13" x14ac:dyDescent="0.35">
      <c r="B321" s="10" t="s">
        <v>626</v>
      </c>
      <c r="C321" s="13" t="s">
        <v>20</v>
      </c>
      <c r="D321" s="30">
        <v>42893</v>
      </c>
      <c r="E321" s="13">
        <v>1</v>
      </c>
      <c r="F321" s="13">
        <v>0</v>
      </c>
      <c r="G321" s="13">
        <v>1</v>
      </c>
      <c r="H321" s="13">
        <v>0</v>
      </c>
      <c r="I321" s="13">
        <v>1</v>
      </c>
      <c r="J321" s="13">
        <v>0</v>
      </c>
      <c r="K321" s="55"/>
      <c r="L321" s="32"/>
      <c r="M321" s="145" t="str">
        <f t="shared" si="8"/>
        <v/>
      </c>
    </row>
    <row r="322" spans="2:13" x14ac:dyDescent="0.35">
      <c r="B322" s="10" t="s">
        <v>134</v>
      </c>
      <c r="C322" s="13" t="s">
        <v>31</v>
      </c>
      <c r="D322" s="30">
        <v>42905</v>
      </c>
      <c r="E322" s="13">
        <v>1</v>
      </c>
      <c r="F322" s="13">
        <v>0</v>
      </c>
      <c r="G322" s="13">
        <v>1</v>
      </c>
      <c r="H322" s="13">
        <v>0</v>
      </c>
      <c r="I322" s="13">
        <v>1</v>
      </c>
      <c r="J322" s="13">
        <v>0</v>
      </c>
      <c r="K322" s="55"/>
      <c r="L322" s="32"/>
      <c r="M322" s="145" t="str">
        <f t="shared" si="8"/>
        <v/>
      </c>
    </row>
    <row r="323" spans="2:13" x14ac:dyDescent="0.35">
      <c r="B323" s="10" t="s">
        <v>75</v>
      </c>
      <c r="C323" s="13" t="s">
        <v>20</v>
      </c>
      <c r="D323" s="30">
        <v>42907</v>
      </c>
      <c r="E323" s="13">
        <v>1</v>
      </c>
      <c r="F323" s="13">
        <v>0</v>
      </c>
      <c r="G323" s="13">
        <v>1</v>
      </c>
      <c r="H323" s="13">
        <v>0</v>
      </c>
      <c r="I323" s="13">
        <v>1</v>
      </c>
      <c r="J323" s="13">
        <v>0</v>
      </c>
      <c r="K323" s="55"/>
      <c r="L323" s="32"/>
      <c r="M323" s="145" t="str">
        <f t="shared" si="8"/>
        <v/>
      </c>
    </row>
    <row r="324" spans="2:13" x14ac:dyDescent="0.35">
      <c r="B324" s="10" t="s">
        <v>770</v>
      </c>
      <c r="C324" s="13" t="s">
        <v>20</v>
      </c>
      <c r="D324" s="30">
        <v>42844</v>
      </c>
      <c r="E324" s="13">
        <v>1</v>
      </c>
      <c r="F324" s="13">
        <v>0</v>
      </c>
      <c r="G324" s="13">
        <v>1</v>
      </c>
      <c r="H324" s="13">
        <v>0</v>
      </c>
      <c r="I324" s="13">
        <v>1</v>
      </c>
      <c r="J324" s="13">
        <v>0</v>
      </c>
      <c r="K324" s="55"/>
      <c r="L324" s="32"/>
      <c r="M324" s="145" t="str">
        <f t="shared" si="8"/>
        <v/>
      </c>
    </row>
    <row r="325" spans="2:13" x14ac:dyDescent="0.35">
      <c r="B325" s="10" t="s">
        <v>758</v>
      </c>
      <c r="C325" s="13" t="s">
        <v>20</v>
      </c>
      <c r="D325" s="30">
        <v>42837</v>
      </c>
      <c r="E325" s="13">
        <v>1</v>
      </c>
      <c r="F325" s="13">
        <v>0</v>
      </c>
      <c r="G325" s="13">
        <v>1</v>
      </c>
      <c r="H325" s="13">
        <v>0</v>
      </c>
      <c r="I325" s="13">
        <v>1</v>
      </c>
      <c r="J325" s="13">
        <v>0</v>
      </c>
      <c r="K325" s="55"/>
      <c r="L325" s="32"/>
      <c r="M325" s="145" t="str">
        <f t="shared" si="8"/>
        <v/>
      </c>
    </row>
    <row r="326" spans="2:13" x14ac:dyDescent="0.35">
      <c r="B326" s="10" t="s">
        <v>563</v>
      </c>
      <c r="C326" s="13" t="s">
        <v>20</v>
      </c>
      <c r="D326" s="30">
        <v>42872</v>
      </c>
      <c r="E326" s="13">
        <v>1</v>
      </c>
      <c r="F326" s="13">
        <v>0</v>
      </c>
      <c r="G326" s="13">
        <v>1</v>
      </c>
      <c r="H326" s="13">
        <v>0</v>
      </c>
      <c r="I326" s="13">
        <v>1</v>
      </c>
      <c r="J326" s="13">
        <v>0</v>
      </c>
      <c r="K326" s="55"/>
      <c r="L326" s="32"/>
      <c r="M326" s="145" t="str">
        <f t="shared" si="8"/>
        <v/>
      </c>
    </row>
    <row r="327" spans="2:13" x14ac:dyDescent="0.35">
      <c r="B327" s="10" t="s">
        <v>470</v>
      </c>
      <c r="C327" s="13" t="s">
        <v>31</v>
      </c>
      <c r="D327" s="30">
        <v>42840</v>
      </c>
      <c r="E327" s="13">
        <v>1</v>
      </c>
      <c r="F327" s="13">
        <v>0</v>
      </c>
      <c r="G327" s="13">
        <v>1</v>
      </c>
      <c r="H327" s="13">
        <v>0</v>
      </c>
      <c r="I327" s="13">
        <v>1</v>
      </c>
      <c r="J327" s="13">
        <v>0</v>
      </c>
      <c r="K327" s="55"/>
      <c r="L327" s="32"/>
      <c r="M327" s="145" t="str">
        <f t="shared" ref="M327:M390" si="10">IF(K327="", "", K327-D327)</f>
        <v/>
      </c>
    </row>
    <row r="328" spans="2:13" x14ac:dyDescent="0.35">
      <c r="B328" s="10" t="s">
        <v>471</v>
      </c>
      <c r="C328" s="13" t="s">
        <v>20</v>
      </c>
      <c r="D328" s="30">
        <v>42867</v>
      </c>
      <c r="E328" s="13">
        <v>1</v>
      </c>
      <c r="F328" s="13">
        <v>0</v>
      </c>
      <c r="G328" s="13">
        <v>1</v>
      </c>
      <c r="H328" s="13">
        <v>0</v>
      </c>
      <c r="I328" s="13">
        <v>1</v>
      </c>
      <c r="J328" s="13">
        <v>0</v>
      </c>
      <c r="K328" s="55"/>
      <c r="L328" s="32"/>
      <c r="M328" s="145" t="str">
        <f t="shared" si="10"/>
        <v/>
      </c>
    </row>
    <row r="329" spans="2:13" x14ac:dyDescent="0.35">
      <c r="B329" s="10" t="s">
        <v>534</v>
      </c>
      <c r="C329" s="13" t="s">
        <v>31</v>
      </c>
      <c r="D329" s="30">
        <v>42849</v>
      </c>
      <c r="E329" s="13">
        <v>1</v>
      </c>
      <c r="F329" s="13">
        <v>0</v>
      </c>
      <c r="G329" s="13">
        <v>1</v>
      </c>
      <c r="H329" s="13">
        <v>0</v>
      </c>
      <c r="I329" s="13">
        <v>1</v>
      </c>
      <c r="J329" s="13">
        <v>0</v>
      </c>
      <c r="K329" s="55"/>
      <c r="L329" s="32"/>
      <c r="M329" s="145" t="str">
        <f t="shared" si="10"/>
        <v/>
      </c>
    </row>
    <row r="330" spans="2:13" x14ac:dyDescent="0.35">
      <c r="B330" s="10" t="s">
        <v>408</v>
      </c>
      <c r="C330" s="13" t="s">
        <v>20</v>
      </c>
      <c r="D330" s="30">
        <v>42835</v>
      </c>
      <c r="E330" s="13">
        <v>1</v>
      </c>
      <c r="F330" s="13">
        <v>0</v>
      </c>
      <c r="G330" s="13">
        <v>1</v>
      </c>
      <c r="H330" s="13">
        <v>0</v>
      </c>
      <c r="I330" s="13">
        <v>1</v>
      </c>
      <c r="J330" s="13">
        <v>0</v>
      </c>
      <c r="K330" s="55"/>
      <c r="L330" s="32"/>
      <c r="M330" s="145" t="str">
        <f t="shared" si="10"/>
        <v/>
      </c>
    </row>
    <row r="331" spans="2:13" x14ac:dyDescent="0.35">
      <c r="B331" s="10" t="s">
        <v>69</v>
      </c>
      <c r="C331" s="13" t="s">
        <v>20</v>
      </c>
      <c r="D331" s="30">
        <v>42904</v>
      </c>
      <c r="E331" s="13">
        <v>1</v>
      </c>
      <c r="F331" s="13">
        <v>0</v>
      </c>
      <c r="G331" s="13">
        <v>1</v>
      </c>
      <c r="H331" s="13">
        <v>0</v>
      </c>
      <c r="I331" s="13">
        <v>1</v>
      </c>
      <c r="J331" s="13">
        <v>0</v>
      </c>
      <c r="K331" s="55"/>
      <c r="L331" s="32"/>
      <c r="M331" s="145" t="str">
        <f t="shared" si="10"/>
        <v/>
      </c>
    </row>
    <row r="332" spans="2:13" x14ac:dyDescent="0.35">
      <c r="B332" s="10" t="s">
        <v>51</v>
      </c>
      <c r="C332" s="13" t="s">
        <v>20</v>
      </c>
      <c r="D332" s="30">
        <v>42877</v>
      </c>
      <c r="E332" s="13">
        <v>1</v>
      </c>
      <c r="F332" s="13">
        <v>0</v>
      </c>
      <c r="G332" s="13">
        <v>1</v>
      </c>
      <c r="H332" s="13">
        <v>0</v>
      </c>
      <c r="I332" s="13">
        <v>1</v>
      </c>
      <c r="J332" s="13">
        <v>0</v>
      </c>
      <c r="K332" s="55"/>
      <c r="L332" s="32"/>
      <c r="M332" s="145" t="str">
        <f t="shared" si="10"/>
        <v/>
      </c>
    </row>
    <row r="333" spans="2:13" x14ac:dyDescent="0.35">
      <c r="B333" s="10" t="s">
        <v>455</v>
      </c>
      <c r="C333" s="13" t="s">
        <v>31</v>
      </c>
      <c r="D333" s="30">
        <v>42832</v>
      </c>
      <c r="E333" s="13">
        <v>1</v>
      </c>
      <c r="F333" s="13">
        <v>0</v>
      </c>
      <c r="G333" s="13">
        <v>1</v>
      </c>
      <c r="H333" s="13">
        <v>0</v>
      </c>
      <c r="I333" s="13">
        <v>1</v>
      </c>
      <c r="J333" s="13">
        <v>0</v>
      </c>
      <c r="K333" s="55"/>
      <c r="L333" s="32"/>
      <c r="M333" s="145" t="str">
        <f t="shared" si="10"/>
        <v/>
      </c>
    </row>
    <row r="334" spans="2:13" x14ac:dyDescent="0.35">
      <c r="B334" s="10" t="s">
        <v>317</v>
      </c>
      <c r="C334" s="13" t="s">
        <v>31</v>
      </c>
      <c r="D334" s="30">
        <v>42900</v>
      </c>
      <c r="E334" s="13">
        <v>1</v>
      </c>
      <c r="F334" s="13">
        <v>0</v>
      </c>
      <c r="G334" s="13">
        <v>1</v>
      </c>
      <c r="H334" s="13">
        <v>0</v>
      </c>
      <c r="I334" s="13">
        <v>1</v>
      </c>
      <c r="J334" s="13">
        <v>0</v>
      </c>
      <c r="K334" s="55"/>
      <c r="L334" s="32"/>
      <c r="M334" s="145" t="str">
        <f t="shared" si="10"/>
        <v/>
      </c>
    </row>
    <row r="335" spans="2:13" x14ac:dyDescent="0.35">
      <c r="B335" s="10" t="s">
        <v>92</v>
      </c>
      <c r="C335" s="13" t="s">
        <v>20</v>
      </c>
      <c r="D335" s="30">
        <v>42838</v>
      </c>
      <c r="E335" s="13">
        <v>1</v>
      </c>
      <c r="F335" s="13">
        <v>0</v>
      </c>
      <c r="G335" s="13">
        <v>1</v>
      </c>
      <c r="H335" s="13">
        <v>0</v>
      </c>
      <c r="I335" s="13">
        <v>1</v>
      </c>
      <c r="J335" s="13">
        <v>0</v>
      </c>
      <c r="K335" s="55"/>
      <c r="L335" s="32"/>
      <c r="M335" s="145" t="str">
        <f t="shared" si="10"/>
        <v/>
      </c>
    </row>
    <row r="336" spans="2:13" x14ac:dyDescent="0.35">
      <c r="B336" s="10" t="s">
        <v>774</v>
      </c>
      <c r="C336" s="13" t="s">
        <v>20</v>
      </c>
      <c r="D336" s="30">
        <v>42906</v>
      </c>
      <c r="E336" s="13">
        <v>1</v>
      </c>
      <c r="F336" s="13">
        <v>0</v>
      </c>
      <c r="G336" s="13">
        <v>1</v>
      </c>
      <c r="H336" s="13">
        <v>0</v>
      </c>
      <c r="I336" s="13">
        <v>1</v>
      </c>
      <c r="J336" s="13">
        <v>0</v>
      </c>
      <c r="K336" s="55"/>
      <c r="L336" s="32"/>
      <c r="M336" s="145" t="str">
        <f t="shared" si="10"/>
        <v/>
      </c>
    </row>
    <row r="337" spans="2:13" x14ac:dyDescent="0.35">
      <c r="B337" s="10" t="s">
        <v>341</v>
      </c>
      <c r="C337" s="13" t="s">
        <v>20</v>
      </c>
      <c r="D337" s="30">
        <v>42873</v>
      </c>
      <c r="E337" s="13">
        <v>1</v>
      </c>
      <c r="F337" s="13">
        <v>0</v>
      </c>
      <c r="G337" s="13">
        <v>1</v>
      </c>
      <c r="H337" s="13">
        <v>0</v>
      </c>
      <c r="I337" s="13">
        <v>1</v>
      </c>
      <c r="J337" s="13">
        <v>0</v>
      </c>
      <c r="K337" s="55"/>
      <c r="L337" s="32"/>
      <c r="M337" s="145" t="str">
        <f t="shared" si="10"/>
        <v/>
      </c>
    </row>
    <row r="338" spans="2:13" x14ac:dyDescent="0.35">
      <c r="B338" s="10" t="s">
        <v>708</v>
      </c>
      <c r="C338" s="13" t="s">
        <v>31</v>
      </c>
      <c r="D338" s="30">
        <v>42843</v>
      </c>
      <c r="E338" s="13">
        <v>1</v>
      </c>
      <c r="F338" s="13">
        <v>0</v>
      </c>
      <c r="G338" s="13">
        <v>1</v>
      </c>
      <c r="H338" s="13">
        <v>0</v>
      </c>
      <c r="I338" s="13">
        <v>1</v>
      </c>
      <c r="J338" s="13">
        <v>0</v>
      </c>
      <c r="K338" s="55"/>
      <c r="L338" s="32"/>
      <c r="M338" s="145" t="str">
        <f t="shared" si="10"/>
        <v/>
      </c>
    </row>
    <row r="339" spans="2:13" x14ac:dyDescent="0.35">
      <c r="B339" s="10" t="s">
        <v>556</v>
      </c>
      <c r="C339" s="13" t="s">
        <v>20</v>
      </c>
      <c r="D339" s="30">
        <v>42864</v>
      </c>
      <c r="E339" s="13">
        <v>1</v>
      </c>
      <c r="F339" s="13">
        <v>0</v>
      </c>
      <c r="G339" s="13">
        <v>1</v>
      </c>
      <c r="H339" s="13">
        <v>0</v>
      </c>
      <c r="I339" s="13">
        <v>1</v>
      </c>
      <c r="J339" s="13">
        <v>0</v>
      </c>
      <c r="K339" s="55"/>
      <c r="L339" s="32"/>
      <c r="M339" s="145" t="str">
        <f t="shared" si="10"/>
        <v/>
      </c>
    </row>
    <row r="340" spans="2:13" x14ac:dyDescent="0.35">
      <c r="B340" s="10" t="s">
        <v>496</v>
      </c>
      <c r="C340" s="13" t="s">
        <v>31</v>
      </c>
      <c r="D340" s="30">
        <v>42884</v>
      </c>
      <c r="E340" s="13">
        <v>1</v>
      </c>
      <c r="F340" s="13">
        <v>0</v>
      </c>
      <c r="G340" s="13">
        <v>1</v>
      </c>
      <c r="H340" s="13">
        <v>0</v>
      </c>
      <c r="I340" s="13">
        <v>1</v>
      </c>
      <c r="J340" s="13">
        <v>0</v>
      </c>
      <c r="K340" s="55"/>
      <c r="L340" s="32"/>
      <c r="M340" s="145" t="str">
        <f t="shared" si="10"/>
        <v/>
      </c>
    </row>
    <row r="341" spans="2:13" x14ac:dyDescent="0.35">
      <c r="B341" s="10" t="s">
        <v>615</v>
      </c>
      <c r="C341" s="13" t="s">
        <v>20</v>
      </c>
      <c r="D341" s="30">
        <v>42856</v>
      </c>
      <c r="E341" s="13">
        <v>1</v>
      </c>
      <c r="F341" s="13">
        <v>0</v>
      </c>
      <c r="G341" s="13">
        <v>1</v>
      </c>
      <c r="H341" s="13">
        <v>0</v>
      </c>
      <c r="I341" s="13">
        <v>1</v>
      </c>
      <c r="J341" s="13">
        <v>0</v>
      </c>
      <c r="K341" s="55"/>
      <c r="L341" s="32"/>
      <c r="M341" s="145" t="str">
        <f t="shared" si="10"/>
        <v/>
      </c>
    </row>
    <row r="342" spans="2:13" x14ac:dyDescent="0.35">
      <c r="B342" s="10" t="s">
        <v>508</v>
      </c>
      <c r="C342" s="13" t="s">
        <v>31</v>
      </c>
      <c r="D342" s="30">
        <v>42912</v>
      </c>
      <c r="E342" s="13">
        <v>1</v>
      </c>
      <c r="F342" s="13">
        <v>0</v>
      </c>
      <c r="G342" s="13">
        <v>1</v>
      </c>
      <c r="H342" s="13">
        <v>0</v>
      </c>
      <c r="I342" s="13">
        <v>1</v>
      </c>
      <c r="J342" s="13">
        <v>0</v>
      </c>
      <c r="K342" s="55"/>
      <c r="L342" s="32"/>
      <c r="M342" s="145" t="str">
        <f t="shared" si="10"/>
        <v/>
      </c>
    </row>
    <row r="343" spans="2:13" x14ac:dyDescent="0.35">
      <c r="B343" s="10" t="s">
        <v>165</v>
      </c>
      <c r="C343" s="13" t="s">
        <v>31</v>
      </c>
      <c r="D343" s="30">
        <v>42845</v>
      </c>
      <c r="E343" s="13">
        <v>1</v>
      </c>
      <c r="F343" s="13">
        <v>0</v>
      </c>
      <c r="G343" s="13">
        <v>1</v>
      </c>
      <c r="H343" s="13">
        <v>0</v>
      </c>
      <c r="I343" s="13">
        <v>1</v>
      </c>
      <c r="J343" s="13">
        <v>0</v>
      </c>
      <c r="K343" s="55"/>
      <c r="L343" s="32"/>
      <c r="M343" s="145" t="str">
        <f t="shared" si="10"/>
        <v/>
      </c>
    </row>
    <row r="344" spans="2:13" x14ac:dyDescent="0.35">
      <c r="B344" s="10" t="s">
        <v>712</v>
      </c>
      <c r="C344" s="13" t="s">
        <v>20</v>
      </c>
      <c r="D344" s="30">
        <v>42839</v>
      </c>
      <c r="E344" s="13">
        <v>1</v>
      </c>
      <c r="F344" s="13">
        <v>0</v>
      </c>
      <c r="G344" s="13">
        <v>1</v>
      </c>
      <c r="H344" s="13">
        <v>0</v>
      </c>
      <c r="I344" s="13">
        <v>1</v>
      </c>
      <c r="J344" s="13">
        <v>0</v>
      </c>
      <c r="K344" s="55"/>
      <c r="L344" s="32"/>
      <c r="M344" s="145" t="str">
        <f t="shared" si="10"/>
        <v/>
      </c>
    </row>
    <row r="345" spans="2:13" x14ac:dyDescent="0.35">
      <c r="B345" s="10" t="s">
        <v>612</v>
      </c>
      <c r="C345" s="13" t="s">
        <v>31</v>
      </c>
      <c r="D345" s="30">
        <v>42850</v>
      </c>
      <c r="E345" s="13">
        <v>1</v>
      </c>
      <c r="F345" s="13">
        <v>0</v>
      </c>
      <c r="G345" s="13">
        <v>1</v>
      </c>
      <c r="H345" s="13">
        <v>0</v>
      </c>
      <c r="I345" s="13">
        <v>1</v>
      </c>
      <c r="J345" s="13">
        <v>0</v>
      </c>
      <c r="K345" s="55"/>
      <c r="L345" s="32"/>
      <c r="M345" s="145" t="str">
        <f t="shared" si="10"/>
        <v/>
      </c>
    </row>
    <row r="346" spans="2:13" x14ac:dyDescent="0.35">
      <c r="B346" s="10" t="s">
        <v>325</v>
      </c>
      <c r="C346" s="13" t="s">
        <v>31</v>
      </c>
      <c r="D346" s="30">
        <v>42904</v>
      </c>
      <c r="E346" s="13">
        <v>1</v>
      </c>
      <c r="F346" s="13">
        <v>0</v>
      </c>
      <c r="G346" s="13">
        <v>1</v>
      </c>
      <c r="H346" s="13">
        <v>0</v>
      </c>
      <c r="I346" s="13">
        <v>1</v>
      </c>
      <c r="J346" s="13">
        <v>0</v>
      </c>
      <c r="K346" s="55"/>
      <c r="L346" s="32"/>
      <c r="M346" s="145" t="str">
        <f t="shared" si="10"/>
        <v/>
      </c>
    </row>
    <row r="347" spans="2:13" x14ac:dyDescent="0.35">
      <c r="B347" s="10" t="s">
        <v>379</v>
      </c>
      <c r="C347" s="13" t="s">
        <v>31</v>
      </c>
      <c r="D347" s="30">
        <v>42858</v>
      </c>
      <c r="E347" s="13">
        <v>1</v>
      </c>
      <c r="F347" s="13">
        <v>0</v>
      </c>
      <c r="G347" s="13">
        <v>1</v>
      </c>
      <c r="H347" s="13">
        <v>0</v>
      </c>
      <c r="I347" s="13">
        <v>1</v>
      </c>
      <c r="J347" s="13">
        <v>0</v>
      </c>
      <c r="K347" s="55"/>
      <c r="L347" s="32"/>
      <c r="M347" s="145" t="str">
        <f t="shared" si="10"/>
        <v/>
      </c>
    </row>
    <row r="348" spans="2:13" x14ac:dyDescent="0.35">
      <c r="B348" s="10" t="s">
        <v>572</v>
      </c>
      <c r="C348" s="13" t="s">
        <v>31</v>
      </c>
      <c r="D348" s="30">
        <v>42842</v>
      </c>
      <c r="E348" s="13">
        <v>1</v>
      </c>
      <c r="F348" s="13">
        <v>0</v>
      </c>
      <c r="G348" s="13">
        <v>1</v>
      </c>
      <c r="H348" s="13">
        <v>0</v>
      </c>
      <c r="I348" s="13">
        <v>1</v>
      </c>
      <c r="J348" s="13">
        <v>0</v>
      </c>
      <c r="K348" s="55"/>
      <c r="L348" s="32"/>
      <c r="M348" s="145" t="str">
        <f t="shared" si="10"/>
        <v/>
      </c>
    </row>
    <row r="349" spans="2:13" x14ac:dyDescent="0.35">
      <c r="B349" s="10" t="s">
        <v>766</v>
      </c>
      <c r="C349" s="13" t="s">
        <v>20</v>
      </c>
      <c r="D349" s="30">
        <v>42874</v>
      </c>
      <c r="E349" s="13">
        <v>1</v>
      </c>
      <c r="F349" s="13">
        <v>0</v>
      </c>
      <c r="G349" s="13">
        <v>1</v>
      </c>
      <c r="H349" s="13">
        <v>0</v>
      </c>
      <c r="I349" s="13">
        <v>1</v>
      </c>
      <c r="J349" s="13">
        <v>0</v>
      </c>
      <c r="K349" s="55"/>
      <c r="L349" s="32"/>
      <c r="M349" s="145" t="str">
        <f t="shared" si="10"/>
        <v/>
      </c>
    </row>
    <row r="350" spans="2:13" x14ac:dyDescent="0.35">
      <c r="B350" s="10" t="s">
        <v>305</v>
      </c>
      <c r="C350" s="13" t="s">
        <v>20</v>
      </c>
      <c r="D350" s="30">
        <v>42838</v>
      </c>
      <c r="E350" s="13">
        <v>1</v>
      </c>
      <c r="F350" s="13">
        <v>0</v>
      </c>
      <c r="G350" s="13">
        <v>1</v>
      </c>
      <c r="H350" s="13">
        <v>0</v>
      </c>
      <c r="I350" s="13">
        <v>1</v>
      </c>
      <c r="J350" s="13">
        <v>0</v>
      </c>
      <c r="K350" s="55"/>
      <c r="L350" s="32"/>
      <c r="M350" s="145" t="str">
        <f t="shared" si="10"/>
        <v/>
      </c>
    </row>
    <row r="351" spans="2:13" x14ac:dyDescent="0.35">
      <c r="B351" s="10" t="s">
        <v>268</v>
      </c>
      <c r="C351" s="13" t="s">
        <v>31</v>
      </c>
      <c r="D351" s="30">
        <v>42853</v>
      </c>
      <c r="E351" s="13">
        <v>1</v>
      </c>
      <c r="F351" s="13">
        <v>0</v>
      </c>
      <c r="G351" s="13">
        <v>1</v>
      </c>
      <c r="H351" s="13">
        <v>0</v>
      </c>
      <c r="I351" s="13">
        <v>1</v>
      </c>
      <c r="J351" s="13">
        <v>0</v>
      </c>
      <c r="K351" s="55"/>
      <c r="L351" s="32"/>
      <c r="M351" s="145" t="str">
        <f t="shared" si="10"/>
        <v/>
      </c>
    </row>
    <row r="352" spans="2:13" x14ac:dyDescent="0.35">
      <c r="B352" s="10" t="s">
        <v>761</v>
      </c>
      <c r="C352" s="13" t="s">
        <v>20</v>
      </c>
      <c r="D352" s="30">
        <v>42842</v>
      </c>
      <c r="E352" s="13">
        <v>1</v>
      </c>
      <c r="F352" s="13">
        <v>0</v>
      </c>
      <c r="G352" s="13">
        <v>1</v>
      </c>
      <c r="H352" s="13">
        <v>0</v>
      </c>
      <c r="I352" s="13">
        <v>1</v>
      </c>
      <c r="J352" s="13">
        <v>0</v>
      </c>
      <c r="K352" s="55"/>
      <c r="L352" s="32"/>
      <c r="M352" s="145" t="str">
        <f t="shared" si="10"/>
        <v/>
      </c>
    </row>
    <row r="353" spans="2:13" x14ac:dyDescent="0.35">
      <c r="B353" s="10" t="s">
        <v>220</v>
      </c>
      <c r="C353" s="13" t="s">
        <v>31</v>
      </c>
      <c r="D353" s="30">
        <v>42902</v>
      </c>
      <c r="E353" s="13">
        <v>1</v>
      </c>
      <c r="F353" s="13">
        <v>0</v>
      </c>
      <c r="G353" s="13">
        <v>1</v>
      </c>
      <c r="H353" s="13">
        <v>0</v>
      </c>
      <c r="I353" s="13">
        <v>1</v>
      </c>
      <c r="J353" s="13">
        <v>0</v>
      </c>
      <c r="K353" s="55"/>
      <c r="L353" s="32"/>
      <c r="M353" s="145" t="str">
        <f t="shared" si="10"/>
        <v/>
      </c>
    </row>
    <row r="354" spans="2:13" x14ac:dyDescent="0.35">
      <c r="B354" s="10" t="s">
        <v>297</v>
      </c>
      <c r="C354" s="13" t="s">
        <v>20</v>
      </c>
      <c r="D354" s="30">
        <v>42840</v>
      </c>
      <c r="E354" s="13">
        <v>1</v>
      </c>
      <c r="F354" s="13">
        <v>0</v>
      </c>
      <c r="G354" s="13">
        <v>1</v>
      </c>
      <c r="H354" s="13">
        <v>0</v>
      </c>
      <c r="I354" s="13">
        <v>1</v>
      </c>
      <c r="J354" s="13">
        <v>0</v>
      </c>
      <c r="K354" s="55"/>
      <c r="L354" s="32"/>
      <c r="M354" s="145" t="str">
        <f t="shared" si="10"/>
        <v/>
      </c>
    </row>
    <row r="355" spans="2:13" x14ac:dyDescent="0.35">
      <c r="B355" s="10" t="s">
        <v>756</v>
      </c>
      <c r="C355" s="13" t="s">
        <v>20</v>
      </c>
      <c r="D355" s="30">
        <v>42890</v>
      </c>
      <c r="E355" s="13">
        <v>1</v>
      </c>
      <c r="F355" s="13">
        <v>0</v>
      </c>
      <c r="G355" s="13">
        <v>1</v>
      </c>
      <c r="H355" s="13">
        <v>0</v>
      </c>
      <c r="I355" s="13">
        <v>1</v>
      </c>
      <c r="J355" s="13">
        <v>0</v>
      </c>
      <c r="K355" s="55"/>
      <c r="L355" s="32"/>
      <c r="M355" s="145" t="str">
        <f t="shared" si="10"/>
        <v/>
      </c>
    </row>
    <row r="356" spans="2:13" x14ac:dyDescent="0.35">
      <c r="B356" s="10" t="s">
        <v>147</v>
      </c>
      <c r="C356" s="13" t="s">
        <v>31</v>
      </c>
      <c r="D356" s="30">
        <v>42831</v>
      </c>
      <c r="E356" s="13">
        <v>1</v>
      </c>
      <c r="F356" s="13">
        <v>0</v>
      </c>
      <c r="G356" s="13">
        <v>1</v>
      </c>
      <c r="H356" s="13">
        <v>0</v>
      </c>
      <c r="I356" s="13">
        <v>1</v>
      </c>
      <c r="J356" s="13">
        <v>0</v>
      </c>
      <c r="K356" s="55"/>
      <c r="L356" s="32"/>
      <c r="M356" s="145" t="str">
        <f t="shared" si="10"/>
        <v/>
      </c>
    </row>
    <row r="357" spans="2:13" x14ac:dyDescent="0.35">
      <c r="B357" s="10" t="s">
        <v>655</v>
      </c>
      <c r="C357" s="13" t="s">
        <v>20</v>
      </c>
      <c r="D357" s="30">
        <v>42849</v>
      </c>
      <c r="E357" s="13">
        <v>1</v>
      </c>
      <c r="F357" s="13">
        <v>0</v>
      </c>
      <c r="G357" s="13">
        <v>1</v>
      </c>
      <c r="H357" s="13">
        <v>0</v>
      </c>
      <c r="I357" s="13">
        <v>1</v>
      </c>
      <c r="J357" s="13">
        <v>0</v>
      </c>
      <c r="K357" s="55"/>
      <c r="L357" s="32"/>
      <c r="M357" s="145" t="str">
        <f t="shared" si="10"/>
        <v/>
      </c>
    </row>
    <row r="358" spans="2:13" x14ac:dyDescent="0.35">
      <c r="B358" s="10" t="s">
        <v>491</v>
      </c>
      <c r="C358" s="13" t="s">
        <v>20</v>
      </c>
      <c r="D358" s="30">
        <v>42872</v>
      </c>
      <c r="E358" s="13">
        <v>1</v>
      </c>
      <c r="F358" s="13">
        <v>0</v>
      </c>
      <c r="G358" s="13">
        <v>1</v>
      </c>
      <c r="H358" s="13">
        <v>0</v>
      </c>
      <c r="I358" s="13">
        <v>1</v>
      </c>
      <c r="J358" s="13">
        <v>0</v>
      </c>
      <c r="K358" s="55"/>
      <c r="L358" s="32"/>
      <c r="M358" s="145" t="str">
        <f t="shared" si="10"/>
        <v/>
      </c>
    </row>
    <row r="359" spans="2:13" x14ac:dyDescent="0.35">
      <c r="B359" s="10" t="s">
        <v>156</v>
      </c>
      <c r="C359" s="13" t="s">
        <v>31</v>
      </c>
      <c r="D359" s="30">
        <v>42904</v>
      </c>
      <c r="E359" s="13">
        <v>1</v>
      </c>
      <c r="F359" s="13">
        <v>0</v>
      </c>
      <c r="G359" s="13">
        <v>1</v>
      </c>
      <c r="H359" s="13">
        <v>0</v>
      </c>
      <c r="I359" s="13">
        <v>1</v>
      </c>
      <c r="J359" s="13">
        <v>0</v>
      </c>
      <c r="K359" s="55"/>
      <c r="L359" s="32"/>
      <c r="M359" s="145" t="str">
        <f t="shared" si="10"/>
        <v/>
      </c>
    </row>
    <row r="360" spans="2:13" x14ac:dyDescent="0.35">
      <c r="B360" s="10" t="s">
        <v>727</v>
      </c>
      <c r="C360" s="13" t="s">
        <v>31</v>
      </c>
      <c r="D360" s="30">
        <v>42874</v>
      </c>
      <c r="E360" s="13">
        <v>1</v>
      </c>
      <c r="F360" s="13">
        <v>0</v>
      </c>
      <c r="G360" s="13">
        <v>1</v>
      </c>
      <c r="H360" s="13">
        <v>0</v>
      </c>
      <c r="I360" s="13">
        <v>1</v>
      </c>
      <c r="J360" s="13">
        <v>0</v>
      </c>
      <c r="K360" s="55"/>
      <c r="L360" s="32"/>
      <c r="M360" s="145" t="str">
        <f t="shared" si="10"/>
        <v/>
      </c>
    </row>
    <row r="361" spans="2:13" x14ac:dyDescent="0.35">
      <c r="B361" s="10" t="s">
        <v>422</v>
      </c>
      <c r="C361" s="13" t="s">
        <v>31</v>
      </c>
      <c r="D361" s="30">
        <v>42886</v>
      </c>
      <c r="E361" s="13">
        <v>1</v>
      </c>
      <c r="F361" s="13">
        <v>0</v>
      </c>
      <c r="G361" s="13">
        <v>1</v>
      </c>
      <c r="H361" s="13">
        <v>0</v>
      </c>
      <c r="I361" s="13">
        <v>1</v>
      </c>
      <c r="J361" s="13">
        <v>0</v>
      </c>
      <c r="K361" s="55"/>
      <c r="L361" s="32"/>
      <c r="M361" s="145" t="str">
        <f t="shared" si="10"/>
        <v/>
      </c>
    </row>
    <row r="362" spans="2:13" x14ac:dyDescent="0.35">
      <c r="B362" s="10" t="s">
        <v>666</v>
      </c>
      <c r="C362" s="13" t="s">
        <v>31</v>
      </c>
      <c r="D362" s="30">
        <v>42850</v>
      </c>
      <c r="E362" s="13">
        <v>1</v>
      </c>
      <c r="F362" s="13">
        <v>0</v>
      </c>
      <c r="G362" s="13">
        <v>1</v>
      </c>
      <c r="H362" s="13">
        <v>0</v>
      </c>
      <c r="I362" s="13">
        <v>1</v>
      </c>
      <c r="J362" s="13">
        <v>0</v>
      </c>
      <c r="K362" s="55"/>
      <c r="L362" s="32"/>
      <c r="M362" s="145" t="str">
        <f t="shared" si="10"/>
        <v/>
      </c>
    </row>
    <row r="363" spans="2:13" x14ac:dyDescent="0.35">
      <c r="B363" s="10" t="s">
        <v>390</v>
      </c>
      <c r="C363" s="13" t="s">
        <v>31</v>
      </c>
      <c r="D363" s="30">
        <v>42877</v>
      </c>
      <c r="E363" s="13">
        <v>1</v>
      </c>
      <c r="F363" s="13">
        <v>0</v>
      </c>
      <c r="G363" s="13">
        <v>1</v>
      </c>
      <c r="H363" s="13">
        <v>0</v>
      </c>
      <c r="I363" s="13">
        <v>1</v>
      </c>
      <c r="J363" s="13">
        <v>0</v>
      </c>
      <c r="K363" s="55"/>
      <c r="L363" s="32"/>
      <c r="M363" s="145" t="str">
        <f t="shared" si="10"/>
        <v/>
      </c>
    </row>
    <row r="364" spans="2:13" x14ac:dyDescent="0.35">
      <c r="B364" s="10" t="s">
        <v>525</v>
      </c>
      <c r="C364" s="13" t="s">
        <v>31</v>
      </c>
      <c r="D364" s="30">
        <v>42912</v>
      </c>
      <c r="E364" s="13">
        <v>1</v>
      </c>
      <c r="F364" s="13">
        <v>0</v>
      </c>
      <c r="G364" s="13">
        <v>1</v>
      </c>
      <c r="H364" s="13">
        <v>0</v>
      </c>
      <c r="I364" s="13">
        <v>1</v>
      </c>
      <c r="J364" s="13">
        <v>0</v>
      </c>
      <c r="K364" s="55"/>
      <c r="L364" s="32"/>
      <c r="M364" s="145" t="str">
        <f t="shared" si="10"/>
        <v/>
      </c>
    </row>
    <row r="365" spans="2:13" x14ac:dyDescent="0.35">
      <c r="B365" s="10" t="s">
        <v>148</v>
      </c>
      <c r="C365" s="13" t="s">
        <v>20</v>
      </c>
      <c r="D365" s="30">
        <v>42833</v>
      </c>
      <c r="E365" s="13">
        <v>1</v>
      </c>
      <c r="F365" s="13">
        <v>0</v>
      </c>
      <c r="G365" s="13">
        <v>1</v>
      </c>
      <c r="H365" s="13">
        <v>0</v>
      </c>
      <c r="I365" s="13">
        <v>1</v>
      </c>
      <c r="J365" s="13">
        <v>0</v>
      </c>
      <c r="K365" s="55"/>
      <c r="L365" s="32"/>
      <c r="M365" s="145" t="str">
        <f t="shared" si="10"/>
        <v/>
      </c>
    </row>
    <row r="366" spans="2:13" x14ac:dyDescent="0.35">
      <c r="B366" s="10" t="s">
        <v>701</v>
      </c>
      <c r="C366" s="13" t="s">
        <v>20</v>
      </c>
      <c r="D366" s="30">
        <v>42896</v>
      </c>
      <c r="E366" s="13">
        <v>1</v>
      </c>
      <c r="F366" s="13">
        <v>0</v>
      </c>
      <c r="G366" s="13">
        <v>1</v>
      </c>
      <c r="H366" s="13">
        <v>0</v>
      </c>
      <c r="I366" s="13">
        <v>1</v>
      </c>
      <c r="J366" s="13">
        <v>0</v>
      </c>
      <c r="K366" s="55"/>
      <c r="L366" s="32"/>
      <c r="M366" s="145" t="str">
        <f t="shared" si="10"/>
        <v/>
      </c>
    </row>
    <row r="367" spans="2:13" x14ac:dyDescent="0.35">
      <c r="B367" s="10" t="s">
        <v>972</v>
      </c>
      <c r="C367" s="13" t="s">
        <v>20</v>
      </c>
      <c r="D367" s="30">
        <v>42848</v>
      </c>
      <c r="E367" s="13">
        <v>1</v>
      </c>
      <c r="F367" s="13">
        <v>0</v>
      </c>
      <c r="G367" s="13">
        <v>1</v>
      </c>
      <c r="H367" s="13">
        <v>0</v>
      </c>
      <c r="I367" s="13">
        <v>1</v>
      </c>
      <c r="J367" s="13">
        <v>0</v>
      </c>
      <c r="K367" s="55"/>
      <c r="L367" s="32"/>
      <c r="M367" s="145" t="str">
        <f t="shared" si="10"/>
        <v/>
      </c>
    </row>
    <row r="368" spans="2:13" x14ac:dyDescent="0.35">
      <c r="B368" s="10" t="s">
        <v>38</v>
      </c>
      <c r="C368" s="13" t="s">
        <v>31</v>
      </c>
      <c r="D368" s="30">
        <v>42852</v>
      </c>
      <c r="E368" s="13">
        <v>1</v>
      </c>
      <c r="F368" s="13">
        <v>0</v>
      </c>
      <c r="G368" s="13">
        <v>1</v>
      </c>
      <c r="H368" s="13">
        <v>0</v>
      </c>
      <c r="I368" s="13">
        <v>1</v>
      </c>
      <c r="J368" s="13">
        <v>0</v>
      </c>
      <c r="K368" s="55"/>
      <c r="L368" s="32"/>
      <c r="M368" s="145" t="str">
        <f t="shared" si="10"/>
        <v/>
      </c>
    </row>
    <row r="369" spans="2:13" x14ac:dyDescent="0.35">
      <c r="B369" s="10" t="s">
        <v>636</v>
      </c>
      <c r="C369" s="13" t="s">
        <v>31</v>
      </c>
      <c r="D369" s="30">
        <v>42904</v>
      </c>
      <c r="E369" s="13">
        <v>1</v>
      </c>
      <c r="F369" s="13">
        <v>0</v>
      </c>
      <c r="G369" s="13">
        <v>1</v>
      </c>
      <c r="H369" s="13">
        <v>0</v>
      </c>
      <c r="I369" s="13">
        <v>1</v>
      </c>
      <c r="J369" s="13">
        <v>0</v>
      </c>
      <c r="K369" s="55"/>
      <c r="L369" s="32"/>
      <c r="M369" s="145" t="str">
        <f t="shared" si="10"/>
        <v/>
      </c>
    </row>
    <row r="370" spans="2:13" x14ac:dyDescent="0.35">
      <c r="B370" s="10" t="s">
        <v>248</v>
      </c>
      <c r="C370" s="13" t="s">
        <v>20</v>
      </c>
      <c r="D370" s="30">
        <v>42852</v>
      </c>
      <c r="E370" s="13">
        <v>1</v>
      </c>
      <c r="F370" s="13">
        <v>0</v>
      </c>
      <c r="G370" s="13">
        <v>1</v>
      </c>
      <c r="H370" s="13">
        <v>0</v>
      </c>
      <c r="I370" s="13">
        <v>1</v>
      </c>
      <c r="J370" s="13">
        <v>0</v>
      </c>
      <c r="K370" s="55"/>
      <c r="L370" s="32"/>
      <c r="M370" s="145" t="str">
        <f t="shared" si="10"/>
        <v/>
      </c>
    </row>
    <row r="371" spans="2:13" x14ac:dyDescent="0.35">
      <c r="B371" s="10" t="s">
        <v>173</v>
      </c>
      <c r="C371" s="13" t="s">
        <v>20</v>
      </c>
      <c r="D371" s="30">
        <v>42881</v>
      </c>
      <c r="E371" s="13">
        <v>1</v>
      </c>
      <c r="F371" s="13">
        <v>0</v>
      </c>
      <c r="G371" s="13">
        <v>1</v>
      </c>
      <c r="H371" s="13">
        <v>0</v>
      </c>
      <c r="I371" s="13">
        <v>1</v>
      </c>
      <c r="J371" s="13">
        <v>0</v>
      </c>
      <c r="K371" s="55"/>
      <c r="L371" s="32"/>
      <c r="M371" s="145" t="str">
        <f t="shared" si="10"/>
        <v/>
      </c>
    </row>
    <row r="372" spans="2:13" x14ac:dyDescent="0.35">
      <c r="B372" s="10" t="s">
        <v>973</v>
      </c>
      <c r="C372" s="13" t="s">
        <v>31</v>
      </c>
      <c r="D372" s="30">
        <v>42830</v>
      </c>
      <c r="E372" s="13">
        <v>1</v>
      </c>
      <c r="F372" s="13">
        <v>0</v>
      </c>
      <c r="G372" s="13">
        <v>1</v>
      </c>
      <c r="H372" s="13">
        <v>0</v>
      </c>
      <c r="I372" s="13">
        <v>1</v>
      </c>
      <c r="J372" s="13">
        <v>0</v>
      </c>
      <c r="K372" s="55"/>
      <c r="L372" s="32"/>
      <c r="M372" s="145" t="str">
        <f t="shared" si="10"/>
        <v/>
      </c>
    </row>
    <row r="373" spans="2:13" x14ac:dyDescent="0.35">
      <c r="B373" s="10" t="s">
        <v>622</v>
      </c>
      <c r="C373" s="13" t="s">
        <v>31</v>
      </c>
      <c r="D373" s="30">
        <v>42914</v>
      </c>
      <c r="E373" s="13">
        <v>1</v>
      </c>
      <c r="F373" s="13">
        <v>0</v>
      </c>
      <c r="G373" s="13">
        <v>1</v>
      </c>
      <c r="H373" s="13">
        <v>0</v>
      </c>
      <c r="I373" s="13">
        <v>1</v>
      </c>
      <c r="J373" s="13">
        <v>0</v>
      </c>
      <c r="K373" s="55"/>
      <c r="L373" s="32"/>
      <c r="M373" s="145" t="str">
        <f t="shared" si="10"/>
        <v/>
      </c>
    </row>
    <row r="374" spans="2:13" x14ac:dyDescent="0.35">
      <c r="B374" s="10" t="s">
        <v>502</v>
      </c>
      <c r="C374" s="13" t="s">
        <v>31</v>
      </c>
      <c r="D374" s="30">
        <v>42841</v>
      </c>
      <c r="E374" s="13">
        <v>1</v>
      </c>
      <c r="F374" s="13">
        <v>0</v>
      </c>
      <c r="G374" s="13">
        <v>1</v>
      </c>
      <c r="H374" s="13">
        <v>0</v>
      </c>
      <c r="I374" s="13">
        <v>1</v>
      </c>
      <c r="J374" s="13">
        <v>0</v>
      </c>
      <c r="K374" s="55"/>
      <c r="L374" s="32"/>
      <c r="M374" s="145" t="str">
        <f t="shared" si="10"/>
        <v/>
      </c>
    </row>
    <row r="375" spans="2:13" x14ac:dyDescent="0.35">
      <c r="B375" s="10" t="s">
        <v>293</v>
      </c>
      <c r="C375" s="13" t="s">
        <v>31</v>
      </c>
      <c r="D375" s="30">
        <v>42848</v>
      </c>
      <c r="E375" s="13">
        <v>1</v>
      </c>
      <c r="F375" s="13">
        <v>0</v>
      </c>
      <c r="G375" s="13">
        <v>1</v>
      </c>
      <c r="H375" s="13">
        <v>0</v>
      </c>
      <c r="I375" s="13">
        <v>1</v>
      </c>
      <c r="J375" s="13">
        <v>0</v>
      </c>
      <c r="K375" s="55"/>
      <c r="L375" s="32"/>
      <c r="M375" s="145" t="str">
        <f t="shared" si="10"/>
        <v/>
      </c>
    </row>
    <row r="376" spans="2:13" x14ac:dyDescent="0.35">
      <c r="B376" s="10" t="s">
        <v>384</v>
      </c>
      <c r="C376" s="13" t="s">
        <v>20</v>
      </c>
      <c r="D376" s="30">
        <v>42903</v>
      </c>
      <c r="E376" s="13">
        <v>1</v>
      </c>
      <c r="F376" s="13">
        <v>0</v>
      </c>
      <c r="G376" s="13">
        <v>1</v>
      </c>
      <c r="H376" s="13">
        <v>0</v>
      </c>
      <c r="I376" s="13">
        <v>1</v>
      </c>
      <c r="J376" s="13">
        <v>0</v>
      </c>
      <c r="K376" s="55"/>
      <c r="L376" s="32"/>
      <c r="M376" s="145" t="str">
        <f t="shared" si="10"/>
        <v/>
      </c>
    </row>
    <row r="377" spans="2:13" x14ac:dyDescent="0.35">
      <c r="B377" s="10" t="s">
        <v>503</v>
      </c>
      <c r="C377" s="13" t="s">
        <v>20</v>
      </c>
      <c r="D377" s="30">
        <v>42903</v>
      </c>
      <c r="E377" s="13">
        <v>1</v>
      </c>
      <c r="F377" s="13">
        <v>0</v>
      </c>
      <c r="G377" s="13">
        <v>1</v>
      </c>
      <c r="H377" s="13">
        <v>0</v>
      </c>
      <c r="I377" s="13">
        <v>1</v>
      </c>
      <c r="J377" s="13">
        <v>0</v>
      </c>
      <c r="K377" s="55"/>
      <c r="L377" s="32"/>
      <c r="M377" s="145" t="str">
        <f t="shared" si="10"/>
        <v/>
      </c>
    </row>
    <row r="378" spans="2:13" x14ac:dyDescent="0.35">
      <c r="B378" s="10" t="s">
        <v>974</v>
      </c>
      <c r="C378" s="13" t="s">
        <v>31</v>
      </c>
      <c r="D378" s="30">
        <v>42830</v>
      </c>
      <c r="E378" s="13">
        <v>1</v>
      </c>
      <c r="F378" s="13">
        <v>0</v>
      </c>
      <c r="G378" s="13">
        <v>1</v>
      </c>
      <c r="H378" s="13">
        <v>0</v>
      </c>
      <c r="I378" s="13">
        <v>1</v>
      </c>
      <c r="J378" s="13">
        <v>0</v>
      </c>
      <c r="K378" s="55"/>
      <c r="L378" s="32"/>
      <c r="M378" s="145" t="str">
        <f t="shared" si="10"/>
        <v/>
      </c>
    </row>
    <row r="379" spans="2:13" x14ac:dyDescent="0.35">
      <c r="B379" s="10" t="s">
        <v>975</v>
      </c>
      <c r="C379" s="13" t="s">
        <v>31</v>
      </c>
      <c r="D379" s="30">
        <v>42902</v>
      </c>
      <c r="E379" s="13">
        <v>1</v>
      </c>
      <c r="F379" s="13">
        <v>0</v>
      </c>
      <c r="G379" s="13">
        <v>1</v>
      </c>
      <c r="H379" s="13">
        <v>0</v>
      </c>
      <c r="I379" s="13">
        <v>1</v>
      </c>
      <c r="J379" s="13">
        <v>0</v>
      </c>
      <c r="K379" s="55"/>
      <c r="L379" s="32"/>
      <c r="M379" s="145" t="str">
        <f t="shared" si="10"/>
        <v/>
      </c>
    </row>
    <row r="380" spans="2:13" x14ac:dyDescent="0.35">
      <c r="B380" s="10" t="s">
        <v>53</v>
      </c>
      <c r="C380" s="13" t="s">
        <v>20</v>
      </c>
      <c r="D380" s="30">
        <v>42864</v>
      </c>
      <c r="E380" s="13">
        <v>1</v>
      </c>
      <c r="F380" s="13">
        <v>0</v>
      </c>
      <c r="G380" s="13">
        <v>1</v>
      </c>
      <c r="H380" s="13">
        <v>0</v>
      </c>
      <c r="I380" s="13">
        <v>1</v>
      </c>
      <c r="J380" s="13">
        <v>0</v>
      </c>
      <c r="K380" s="55"/>
      <c r="L380" s="32"/>
      <c r="M380" s="145" t="str">
        <f t="shared" si="10"/>
        <v/>
      </c>
    </row>
    <row r="381" spans="2:13" x14ac:dyDescent="0.35">
      <c r="B381" s="10" t="s">
        <v>976</v>
      </c>
      <c r="C381" s="13" t="s">
        <v>31</v>
      </c>
      <c r="D381" s="30">
        <v>42914</v>
      </c>
      <c r="E381" s="13">
        <v>1</v>
      </c>
      <c r="F381" s="13">
        <v>0</v>
      </c>
      <c r="G381" s="13">
        <v>1</v>
      </c>
      <c r="H381" s="13">
        <v>0</v>
      </c>
      <c r="I381" s="13">
        <v>1</v>
      </c>
      <c r="J381" s="13">
        <v>0</v>
      </c>
      <c r="K381" s="55"/>
      <c r="L381" s="32"/>
      <c r="M381" s="145" t="str">
        <f t="shared" si="10"/>
        <v/>
      </c>
    </row>
    <row r="382" spans="2:13" x14ac:dyDescent="0.35">
      <c r="B382" s="10" t="s">
        <v>977</v>
      </c>
      <c r="C382" s="13" t="s">
        <v>20</v>
      </c>
      <c r="D382" s="30">
        <v>42885</v>
      </c>
      <c r="E382" s="13">
        <v>1</v>
      </c>
      <c r="F382" s="13">
        <v>0</v>
      </c>
      <c r="G382" s="13">
        <v>1</v>
      </c>
      <c r="H382" s="13">
        <v>0</v>
      </c>
      <c r="I382" s="13">
        <v>1</v>
      </c>
      <c r="J382" s="13">
        <v>0</v>
      </c>
      <c r="K382" s="55"/>
      <c r="L382" s="32"/>
      <c r="M382" s="145" t="str">
        <f t="shared" si="10"/>
        <v/>
      </c>
    </row>
    <row r="383" spans="2:13" x14ac:dyDescent="0.35">
      <c r="B383" s="10" t="s">
        <v>696</v>
      </c>
      <c r="C383" s="13" t="s">
        <v>31</v>
      </c>
      <c r="D383" s="30">
        <v>42860</v>
      </c>
      <c r="E383" s="13">
        <v>1</v>
      </c>
      <c r="F383" s="13">
        <v>0</v>
      </c>
      <c r="G383" s="13">
        <v>1</v>
      </c>
      <c r="H383" s="13">
        <v>0</v>
      </c>
      <c r="I383" s="13">
        <v>1</v>
      </c>
      <c r="J383" s="13">
        <v>0</v>
      </c>
      <c r="K383" s="55"/>
      <c r="L383" s="32"/>
      <c r="M383" s="145" t="str">
        <f t="shared" si="10"/>
        <v/>
      </c>
    </row>
    <row r="384" spans="2:13" x14ac:dyDescent="0.35">
      <c r="B384" s="10" t="s">
        <v>564</v>
      </c>
      <c r="C384" s="13" t="s">
        <v>31</v>
      </c>
      <c r="D384" s="30">
        <v>42826</v>
      </c>
      <c r="E384" s="13">
        <v>1</v>
      </c>
      <c r="F384" s="13">
        <v>0</v>
      </c>
      <c r="G384" s="13">
        <v>1</v>
      </c>
      <c r="H384" s="13">
        <v>0</v>
      </c>
      <c r="I384" s="13">
        <v>1</v>
      </c>
      <c r="J384" s="13">
        <v>0</v>
      </c>
      <c r="K384" s="55"/>
      <c r="L384" s="32"/>
      <c r="M384" s="145" t="str">
        <f t="shared" si="10"/>
        <v/>
      </c>
    </row>
    <row r="385" spans="2:13" x14ac:dyDescent="0.35">
      <c r="B385" s="10" t="s">
        <v>516</v>
      </c>
      <c r="C385" s="13" t="s">
        <v>20</v>
      </c>
      <c r="D385" s="30">
        <v>42907</v>
      </c>
      <c r="E385" s="13">
        <v>1</v>
      </c>
      <c r="F385" s="13">
        <v>0</v>
      </c>
      <c r="G385" s="13">
        <v>1</v>
      </c>
      <c r="H385" s="13">
        <v>0</v>
      </c>
      <c r="I385" s="13">
        <v>1</v>
      </c>
      <c r="J385" s="13">
        <v>0</v>
      </c>
      <c r="K385" s="55"/>
      <c r="L385" s="32"/>
      <c r="M385" s="145" t="str">
        <f t="shared" si="10"/>
        <v/>
      </c>
    </row>
    <row r="386" spans="2:13" x14ac:dyDescent="0.35">
      <c r="B386" s="10" t="s">
        <v>429</v>
      </c>
      <c r="C386" s="13" t="s">
        <v>31</v>
      </c>
      <c r="D386" s="30">
        <v>42895</v>
      </c>
      <c r="E386" s="13">
        <v>1</v>
      </c>
      <c r="F386" s="13">
        <v>0</v>
      </c>
      <c r="G386" s="13">
        <v>1</v>
      </c>
      <c r="H386" s="13">
        <v>0</v>
      </c>
      <c r="I386" s="13">
        <v>1</v>
      </c>
      <c r="J386" s="13">
        <v>0</v>
      </c>
      <c r="K386" s="55"/>
      <c r="L386" s="32"/>
      <c r="M386" s="145" t="str">
        <f t="shared" si="10"/>
        <v/>
      </c>
    </row>
    <row r="387" spans="2:13" x14ac:dyDescent="0.35">
      <c r="B387" s="10" t="s">
        <v>356</v>
      </c>
      <c r="C387" s="13" t="s">
        <v>20</v>
      </c>
      <c r="D387" s="30">
        <v>42848</v>
      </c>
      <c r="E387" s="13">
        <v>1</v>
      </c>
      <c r="F387" s="13">
        <v>0</v>
      </c>
      <c r="G387" s="13">
        <v>1</v>
      </c>
      <c r="H387" s="13">
        <v>0</v>
      </c>
      <c r="I387" s="13">
        <v>1</v>
      </c>
      <c r="J387" s="13">
        <v>0</v>
      </c>
      <c r="K387" s="55"/>
      <c r="L387" s="32"/>
      <c r="M387" s="145" t="str">
        <f t="shared" si="10"/>
        <v/>
      </c>
    </row>
    <row r="388" spans="2:13" x14ac:dyDescent="0.35">
      <c r="B388" s="10" t="s">
        <v>664</v>
      </c>
      <c r="C388" s="13" t="s">
        <v>31</v>
      </c>
      <c r="D388" s="30">
        <v>42914</v>
      </c>
      <c r="E388" s="13">
        <v>1</v>
      </c>
      <c r="F388" s="13">
        <v>0</v>
      </c>
      <c r="G388" s="13">
        <v>1</v>
      </c>
      <c r="H388" s="13">
        <v>0</v>
      </c>
      <c r="I388" s="13">
        <v>1</v>
      </c>
      <c r="J388" s="13">
        <v>0</v>
      </c>
      <c r="K388" s="55"/>
      <c r="L388" s="32"/>
      <c r="M388" s="145" t="str">
        <f t="shared" si="10"/>
        <v/>
      </c>
    </row>
    <row r="389" spans="2:13" x14ac:dyDescent="0.35">
      <c r="B389" s="10" t="s">
        <v>514</v>
      </c>
      <c r="C389" s="13" t="s">
        <v>20</v>
      </c>
      <c r="D389" s="30">
        <v>42898</v>
      </c>
      <c r="E389" s="13">
        <v>1</v>
      </c>
      <c r="F389" s="13">
        <v>0</v>
      </c>
      <c r="G389" s="13">
        <v>1</v>
      </c>
      <c r="H389" s="13">
        <v>0</v>
      </c>
      <c r="I389" s="13">
        <v>1</v>
      </c>
      <c r="J389" s="13">
        <v>0</v>
      </c>
      <c r="K389" s="55"/>
      <c r="L389" s="32"/>
      <c r="M389" s="145" t="str">
        <f t="shared" si="10"/>
        <v/>
      </c>
    </row>
    <row r="390" spans="2:13" x14ac:dyDescent="0.35">
      <c r="B390" s="10" t="s">
        <v>439</v>
      </c>
      <c r="C390" s="13" t="s">
        <v>31</v>
      </c>
      <c r="D390" s="30">
        <v>42844</v>
      </c>
      <c r="E390" s="13">
        <v>1</v>
      </c>
      <c r="F390" s="13">
        <v>0</v>
      </c>
      <c r="G390" s="13">
        <v>1</v>
      </c>
      <c r="H390" s="13">
        <v>0</v>
      </c>
      <c r="I390" s="13">
        <v>1</v>
      </c>
      <c r="J390" s="13">
        <v>0</v>
      </c>
      <c r="K390" s="55"/>
      <c r="L390" s="32"/>
      <c r="M390" s="145" t="str">
        <f t="shared" si="10"/>
        <v/>
      </c>
    </row>
    <row r="391" spans="2:13" x14ac:dyDescent="0.35">
      <c r="B391" s="10" t="s">
        <v>978</v>
      </c>
      <c r="C391" s="13" t="s">
        <v>20</v>
      </c>
      <c r="D391" s="30">
        <v>42860</v>
      </c>
      <c r="E391" s="13">
        <v>1</v>
      </c>
      <c r="F391" s="13">
        <v>0</v>
      </c>
      <c r="G391" s="13">
        <v>1</v>
      </c>
      <c r="H391" s="13">
        <v>0</v>
      </c>
      <c r="I391" s="13">
        <v>1</v>
      </c>
      <c r="J391" s="13">
        <v>0</v>
      </c>
      <c r="K391" s="55"/>
      <c r="L391" s="32"/>
      <c r="M391" s="145" t="str">
        <f t="shared" ref="M391:M454" si="11">IF(K391="", "", K391-D391)</f>
        <v/>
      </c>
    </row>
    <row r="392" spans="2:13" x14ac:dyDescent="0.35">
      <c r="B392" s="10" t="s">
        <v>693</v>
      </c>
      <c r="C392" s="13" t="s">
        <v>20</v>
      </c>
      <c r="D392" s="30">
        <v>42915</v>
      </c>
      <c r="E392" s="13">
        <v>1</v>
      </c>
      <c r="F392" s="13">
        <v>0</v>
      </c>
      <c r="G392" s="13">
        <v>1</v>
      </c>
      <c r="H392" s="13">
        <v>0</v>
      </c>
      <c r="I392" s="13">
        <v>1</v>
      </c>
      <c r="J392" s="13">
        <v>0</v>
      </c>
      <c r="K392" s="55"/>
      <c r="L392" s="32"/>
      <c r="M392" s="145" t="str">
        <f t="shared" si="11"/>
        <v/>
      </c>
    </row>
    <row r="393" spans="2:13" x14ac:dyDescent="0.35">
      <c r="B393" s="10" t="s">
        <v>609</v>
      </c>
      <c r="C393" s="13" t="s">
        <v>20</v>
      </c>
      <c r="D393" s="30">
        <v>42880</v>
      </c>
      <c r="E393" s="13">
        <v>1</v>
      </c>
      <c r="F393" s="13">
        <v>0</v>
      </c>
      <c r="G393" s="13">
        <v>1</v>
      </c>
      <c r="H393" s="13">
        <v>0</v>
      </c>
      <c r="I393" s="13">
        <v>1</v>
      </c>
      <c r="J393" s="13">
        <v>0</v>
      </c>
      <c r="K393" s="55"/>
      <c r="L393" s="32"/>
      <c r="M393" s="145" t="str">
        <f t="shared" si="11"/>
        <v/>
      </c>
    </row>
    <row r="394" spans="2:13" x14ac:dyDescent="0.35">
      <c r="B394" s="10" t="s">
        <v>314</v>
      </c>
      <c r="C394" s="13" t="s">
        <v>20</v>
      </c>
      <c r="D394" s="30">
        <v>42876</v>
      </c>
      <c r="E394" s="13">
        <v>1</v>
      </c>
      <c r="F394" s="13">
        <v>0</v>
      </c>
      <c r="G394" s="13">
        <v>1</v>
      </c>
      <c r="H394" s="13">
        <v>0</v>
      </c>
      <c r="I394" s="13">
        <v>1</v>
      </c>
      <c r="J394" s="13">
        <v>0</v>
      </c>
      <c r="K394" s="55"/>
      <c r="L394" s="32"/>
      <c r="M394" s="145" t="str">
        <f t="shared" si="11"/>
        <v/>
      </c>
    </row>
    <row r="395" spans="2:13" x14ac:dyDescent="0.35">
      <c r="B395" s="10" t="s">
        <v>772</v>
      </c>
      <c r="C395" s="13" t="s">
        <v>31</v>
      </c>
      <c r="D395" s="30">
        <v>42862</v>
      </c>
      <c r="E395" s="13">
        <v>1</v>
      </c>
      <c r="F395" s="13">
        <v>0</v>
      </c>
      <c r="G395" s="13">
        <v>1</v>
      </c>
      <c r="H395" s="13">
        <v>0</v>
      </c>
      <c r="I395" s="13">
        <v>1</v>
      </c>
      <c r="J395" s="13">
        <v>0</v>
      </c>
      <c r="K395" s="55"/>
      <c r="L395" s="32"/>
      <c r="M395" s="145" t="str">
        <f t="shared" si="11"/>
        <v/>
      </c>
    </row>
    <row r="396" spans="2:13" x14ac:dyDescent="0.35">
      <c r="B396" s="10" t="s">
        <v>45</v>
      </c>
      <c r="C396" s="13" t="s">
        <v>20</v>
      </c>
      <c r="D396" s="30">
        <v>42907</v>
      </c>
      <c r="E396" s="13">
        <v>1</v>
      </c>
      <c r="F396" s="13">
        <v>0</v>
      </c>
      <c r="G396" s="13">
        <v>1</v>
      </c>
      <c r="H396" s="13">
        <v>0</v>
      </c>
      <c r="I396" s="13">
        <v>1</v>
      </c>
      <c r="J396" s="13">
        <v>0</v>
      </c>
      <c r="K396" s="55"/>
      <c r="L396" s="32"/>
      <c r="M396" s="145" t="str">
        <f t="shared" si="11"/>
        <v/>
      </c>
    </row>
    <row r="397" spans="2:13" x14ac:dyDescent="0.35">
      <c r="B397" s="10" t="s">
        <v>380</v>
      </c>
      <c r="C397" s="13" t="s">
        <v>31</v>
      </c>
      <c r="D397" s="30">
        <v>42848</v>
      </c>
      <c r="E397" s="13">
        <v>1</v>
      </c>
      <c r="F397" s="13">
        <v>0</v>
      </c>
      <c r="G397" s="13">
        <v>1</v>
      </c>
      <c r="H397" s="13">
        <v>0</v>
      </c>
      <c r="I397" s="13">
        <v>1</v>
      </c>
      <c r="J397" s="13">
        <v>0</v>
      </c>
      <c r="K397" s="55"/>
      <c r="L397" s="32"/>
      <c r="M397" s="145" t="str">
        <f t="shared" si="11"/>
        <v/>
      </c>
    </row>
    <row r="398" spans="2:13" x14ac:dyDescent="0.35">
      <c r="B398" s="10" t="s">
        <v>625</v>
      </c>
      <c r="C398" s="13" t="s">
        <v>20</v>
      </c>
      <c r="D398" s="30">
        <v>42833</v>
      </c>
      <c r="E398" s="13">
        <v>1</v>
      </c>
      <c r="F398" s="13">
        <v>0</v>
      </c>
      <c r="G398" s="13">
        <v>1</v>
      </c>
      <c r="H398" s="13">
        <v>0</v>
      </c>
      <c r="I398" s="13">
        <v>1</v>
      </c>
      <c r="J398" s="13">
        <v>0</v>
      </c>
      <c r="K398" s="55"/>
      <c r="L398" s="32"/>
      <c r="M398" s="145" t="str">
        <f t="shared" si="11"/>
        <v/>
      </c>
    </row>
    <row r="399" spans="2:13" x14ac:dyDescent="0.35">
      <c r="B399" s="10" t="s">
        <v>459</v>
      </c>
      <c r="C399" s="13" t="s">
        <v>20</v>
      </c>
      <c r="D399" s="30">
        <v>42862</v>
      </c>
      <c r="E399" s="13">
        <v>1</v>
      </c>
      <c r="F399" s="13">
        <v>0</v>
      </c>
      <c r="G399" s="13">
        <v>1</v>
      </c>
      <c r="H399" s="13">
        <v>0</v>
      </c>
      <c r="I399" s="13">
        <v>1</v>
      </c>
      <c r="J399" s="13">
        <v>0</v>
      </c>
      <c r="K399" s="55"/>
      <c r="L399" s="32"/>
      <c r="M399" s="145" t="str">
        <f t="shared" si="11"/>
        <v/>
      </c>
    </row>
    <row r="400" spans="2:13" x14ac:dyDescent="0.35">
      <c r="B400" s="10" t="s">
        <v>387</v>
      </c>
      <c r="C400" s="13" t="s">
        <v>31</v>
      </c>
      <c r="D400" s="30">
        <v>42843</v>
      </c>
      <c r="E400" s="13">
        <v>1</v>
      </c>
      <c r="F400" s="13">
        <v>0</v>
      </c>
      <c r="G400" s="13">
        <v>1</v>
      </c>
      <c r="H400" s="13">
        <v>0</v>
      </c>
      <c r="I400" s="13">
        <v>1</v>
      </c>
      <c r="J400" s="13">
        <v>0</v>
      </c>
      <c r="K400" s="55"/>
      <c r="L400" s="32"/>
      <c r="M400" s="145" t="str">
        <f t="shared" si="11"/>
        <v/>
      </c>
    </row>
    <row r="401" spans="2:13" x14ac:dyDescent="0.35">
      <c r="B401" s="10" t="s">
        <v>333</v>
      </c>
      <c r="C401" s="13" t="s">
        <v>31</v>
      </c>
      <c r="D401" s="30">
        <v>42892</v>
      </c>
      <c r="E401" s="13">
        <v>1</v>
      </c>
      <c r="F401" s="13">
        <v>0</v>
      </c>
      <c r="G401" s="13">
        <v>1</v>
      </c>
      <c r="H401" s="13">
        <v>0</v>
      </c>
      <c r="I401" s="13">
        <v>1</v>
      </c>
      <c r="J401" s="13">
        <v>0</v>
      </c>
      <c r="K401" s="55"/>
      <c r="L401" s="32"/>
      <c r="M401" s="145" t="str">
        <f t="shared" si="11"/>
        <v/>
      </c>
    </row>
    <row r="402" spans="2:13" x14ac:dyDescent="0.35">
      <c r="B402" s="10" t="s">
        <v>183</v>
      </c>
      <c r="C402" s="13" t="s">
        <v>20</v>
      </c>
      <c r="D402" s="30">
        <v>42842</v>
      </c>
      <c r="E402" s="13">
        <v>1</v>
      </c>
      <c r="F402" s="13">
        <v>0</v>
      </c>
      <c r="G402" s="13">
        <v>1</v>
      </c>
      <c r="H402" s="13">
        <v>0</v>
      </c>
      <c r="I402" s="13">
        <v>1</v>
      </c>
      <c r="J402" s="13">
        <v>0</v>
      </c>
      <c r="K402" s="55"/>
      <c r="L402" s="32"/>
      <c r="M402" s="145" t="str">
        <f t="shared" si="11"/>
        <v/>
      </c>
    </row>
    <row r="403" spans="2:13" x14ac:dyDescent="0.35">
      <c r="B403" s="10" t="s">
        <v>215</v>
      </c>
      <c r="C403" s="13" t="s">
        <v>31</v>
      </c>
      <c r="D403" s="30">
        <v>42844</v>
      </c>
      <c r="E403" s="13">
        <v>1</v>
      </c>
      <c r="F403" s="13">
        <v>0</v>
      </c>
      <c r="G403" s="13">
        <v>1</v>
      </c>
      <c r="H403" s="13">
        <v>0</v>
      </c>
      <c r="I403" s="13">
        <v>1</v>
      </c>
      <c r="J403" s="13">
        <v>0</v>
      </c>
      <c r="K403" s="55"/>
      <c r="L403" s="32"/>
      <c r="M403" s="145" t="str">
        <f t="shared" si="11"/>
        <v/>
      </c>
    </row>
    <row r="404" spans="2:13" x14ac:dyDescent="0.35">
      <c r="B404" s="10" t="s">
        <v>745</v>
      </c>
      <c r="C404" s="13" t="s">
        <v>31</v>
      </c>
      <c r="D404" s="30">
        <v>42841</v>
      </c>
      <c r="E404" s="13">
        <v>1</v>
      </c>
      <c r="F404" s="13">
        <v>0</v>
      </c>
      <c r="G404" s="13">
        <v>1</v>
      </c>
      <c r="H404" s="13">
        <v>0</v>
      </c>
      <c r="I404" s="13">
        <v>1</v>
      </c>
      <c r="J404" s="13">
        <v>0</v>
      </c>
      <c r="K404" s="55"/>
      <c r="L404" s="32"/>
      <c r="M404" s="145" t="str">
        <f t="shared" si="11"/>
        <v/>
      </c>
    </row>
    <row r="405" spans="2:13" x14ac:dyDescent="0.35">
      <c r="B405" s="10" t="s">
        <v>316</v>
      </c>
      <c r="C405" s="13" t="s">
        <v>31</v>
      </c>
      <c r="D405" s="30">
        <v>42852</v>
      </c>
      <c r="E405" s="13">
        <v>1</v>
      </c>
      <c r="F405" s="13">
        <v>0</v>
      </c>
      <c r="G405" s="13">
        <v>1</v>
      </c>
      <c r="H405" s="13">
        <v>0</v>
      </c>
      <c r="I405" s="13">
        <v>1</v>
      </c>
      <c r="J405" s="13">
        <v>0</v>
      </c>
      <c r="K405" s="55"/>
      <c r="L405" s="32"/>
      <c r="M405" s="145" t="str">
        <f t="shared" si="11"/>
        <v/>
      </c>
    </row>
    <row r="406" spans="2:13" x14ac:dyDescent="0.35">
      <c r="B406" s="10" t="s">
        <v>466</v>
      </c>
      <c r="C406" s="13" t="s">
        <v>31</v>
      </c>
      <c r="D406" s="30">
        <v>42852</v>
      </c>
      <c r="E406" s="13">
        <v>1</v>
      </c>
      <c r="F406" s="13">
        <v>0</v>
      </c>
      <c r="G406" s="13">
        <v>1</v>
      </c>
      <c r="H406" s="13">
        <v>0</v>
      </c>
      <c r="I406" s="13">
        <v>1</v>
      </c>
      <c r="J406" s="13">
        <v>0</v>
      </c>
      <c r="K406" s="55"/>
      <c r="L406" s="32"/>
      <c r="M406" s="145" t="str">
        <f t="shared" si="11"/>
        <v/>
      </c>
    </row>
    <row r="407" spans="2:13" x14ac:dyDescent="0.35">
      <c r="B407" s="10" t="s">
        <v>237</v>
      </c>
      <c r="C407" s="13" t="s">
        <v>31</v>
      </c>
      <c r="D407" s="30">
        <v>42915</v>
      </c>
      <c r="E407" s="13">
        <v>1</v>
      </c>
      <c r="F407" s="13">
        <v>0</v>
      </c>
      <c r="G407" s="13">
        <v>1</v>
      </c>
      <c r="H407" s="13">
        <v>0</v>
      </c>
      <c r="I407" s="13">
        <v>1</v>
      </c>
      <c r="J407" s="13">
        <v>0</v>
      </c>
      <c r="K407" s="55"/>
      <c r="L407" s="32"/>
      <c r="M407" s="145" t="str">
        <f t="shared" si="11"/>
        <v/>
      </c>
    </row>
    <row r="408" spans="2:13" x14ac:dyDescent="0.35">
      <c r="B408" s="10" t="s">
        <v>454</v>
      </c>
      <c r="C408" s="13" t="s">
        <v>31</v>
      </c>
      <c r="D408" s="30">
        <v>42839</v>
      </c>
      <c r="E408" s="13">
        <v>1</v>
      </c>
      <c r="F408" s="13">
        <v>0</v>
      </c>
      <c r="G408" s="13">
        <v>1</v>
      </c>
      <c r="H408" s="13">
        <v>0</v>
      </c>
      <c r="I408" s="13">
        <v>1</v>
      </c>
      <c r="J408" s="13">
        <v>0</v>
      </c>
      <c r="K408" s="55"/>
      <c r="L408" s="32"/>
      <c r="M408" s="145" t="str">
        <f t="shared" si="11"/>
        <v/>
      </c>
    </row>
    <row r="409" spans="2:13" x14ac:dyDescent="0.35">
      <c r="B409" s="10" t="s">
        <v>694</v>
      </c>
      <c r="C409" s="13" t="s">
        <v>20</v>
      </c>
      <c r="D409" s="30">
        <v>42905</v>
      </c>
      <c r="E409" s="13">
        <v>1</v>
      </c>
      <c r="F409" s="13">
        <v>0</v>
      </c>
      <c r="G409" s="13">
        <v>1</v>
      </c>
      <c r="H409" s="13">
        <v>0</v>
      </c>
      <c r="I409" s="13">
        <v>1</v>
      </c>
      <c r="J409" s="13">
        <v>0</v>
      </c>
      <c r="K409" s="55"/>
      <c r="L409" s="32"/>
      <c r="M409" s="145" t="str">
        <f t="shared" si="11"/>
        <v/>
      </c>
    </row>
    <row r="410" spans="2:13" x14ac:dyDescent="0.35">
      <c r="B410" s="10" t="s">
        <v>324</v>
      </c>
      <c r="C410" s="13" t="s">
        <v>31</v>
      </c>
      <c r="D410" s="30">
        <v>42901</v>
      </c>
      <c r="E410" s="13">
        <v>1</v>
      </c>
      <c r="F410" s="13">
        <v>0</v>
      </c>
      <c r="G410" s="13">
        <v>1</v>
      </c>
      <c r="H410" s="13">
        <v>0</v>
      </c>
      <c r="I410" s="13">
        <v>1</v>
      </c>
      <c r="J410" s="13">
        <v>0</v>
      </c>
      <c r="K410" s="55"/>
      <c r="L410" s="32"/>
      <c r="M410" s="145" t="str">
        <f t="shared" si="11"/>
        <v/>
      </c>
    </row>
    <row r="411" spans="2:13" x14ac:dyDescent="0.35">
      <c r="B411" s="10" t="s">
        <v>339</v>
      </c>
      <c r="C411" s="13" t="s">
        <v>31</v>
      </c>
      <c r="D411" s="30">
        <v>42904</v>
      </c>
      <c r="E411" s="13">
        <v>1</v>
      </c>
      <c r="F411" s="13">
        <v>0</v>
      </c>
      <c r="G411" s="13">
        <v>1</v>
      </c>
      <c r="H411" s="13">
        <v>0</v>
      </c>
      <c r="I411" s="13">
        <v>1</v>
      </c>
      <c r="J411" s="13">
        <v>0</v>
      </c>
      <c r="K411" s="55"/>
      <c r="L411" s="32"/>
      <c r="M411" s="145" t="str">
        <f t="shared" si="11"/>
        <v/>
      </c>
    </row>
    <row r="412" spans="2:13" x14ac:dyDescent="0.35">
      <c r="B412" s="10" t="s">
        <v>510</v>
      </c>
      <c r="C412" s="13" t="s">
        <v>20</v>
      </c>
      <c r="D412" s="30">
        <v>42893</v>
      </c>
      <c r="E412" s="13">
        <v>1</v>
      </c>
      <c r="F412" s="13">
        <v>0</v>
      </c>
      <c r="G412" s="13">
        <v>1</v>
      </c>
      <c r="H412" s="13">
        <v>0</v>
      </c>
      <c r="I412" s="13">
        <v>1</v>
      </c>
      <c r="J412" s="13">
        <v>0</v>
      </c>
      <c r="K412" s="55"/>
      <c r="L412" s="32"/>
      <c r="M412" s="145" t="str">
        <f t="shared" si="11"/>
        <v/>
      </c>
    </row>
    <row r="413" spans="2:13" x14ac:dyDescent="0.35">
      <c r="B413" s="10" t="s">
        <v>108</v>
      </c>
      <c r="C413" s="13" t="s">
        <v>20</v>
      </c>
      <c r="D413" s="30">
        <v>42891</v>
      </c>
      <c r="E413" s="13">
        <v>1</v>
      </c>
      <c r="F413" s="13">
        <v>0</v>
      </c>
      <c r="G413" s="13">
        <v>1</v>
      </c>
      <c r="H413" s="13">
        <v>0</v>
      </c>
      <c r="I413" s="13">
        <v>1</v>
      </c>
      <c r="J413" s="13">
        <v>0</v>
      </c>
      <c r="K413" s="55"/>
      <c r="L413" s="32"/>
      <c r="M413" s="145" t="str">
        <f t="shared" si="11"/>
        <v/>
      </c>
    </row>
    <row r="414" spans="2:13" x14ac:dyDescent="0.35">
      <c r="B414" s="10" t="s">
        <v>274</v>
      </c>
      <c r="C414" s="13" t="s">
        <v>31</v>
      </c>
      <c r="D414" s="30">
        <v>42883</v>
      </c>
      <c r="E414" s="13">
        <v>1</v>
      </c>
      <c r="F414" s="13">
        <v>0</v>
      </c>
      <c r="G414" s="13">
        <v>1</v>
      </c>
      <c r="H414" s="13">
        <v>0</v>
      </c>
      <c r="I414" s="13">
        <v>1</v>
      </c>
      <c r="J414" s="13">
        <v>0</v>
      </c>
      <c r="K414" s="55"/>
      <c r="L414" s="32"/>
      <c r="M414" s="145" t="str">
        <f t="shared" si="11"/>
        <v/>
      </c>
    </row>
    <row r="415" spans="2:13" x14ac:dyDescent="0.35">
      <c r="B415" s="10" t="s">
        <v>762</v>
      </c>
      <c r="C415" s="13" t="s">
        <v>31</v>
      </c>
      <c r="D415" s="30">
        <v>42873</v>
      </c>
      <c r="E415" s="13">
        <v>1</v>
      </c>
      <c r="F415" s="13">
        <v>0</v>
      </c>
      <c r="G415" s="13">
        <v>1</v>
      </c>
      <c r="H415" s="13">
        <v>0</v>
      </c>
      <c r="I415" s="13">
        <v>1</v>
      </c>
      <c r="J415" s="13">
        <v>0</v>
      </c>
      <c r="K415" s="55"/>
      <c r="L415" s="32"/>
      <c r="M415" s="145" t="str">
        <f t="shared" si="11"/>
        <v/>
      </c>
    </row>
    <row r="416" spans="2:13" x14ac:dyDescent="0.35">
      <c r="B416" s="10" t="s">
        <v>614</v>
      </c>
      <c r="C416" s="13" t="s">
        <v>20</v>
      </c>
      <c r="D416" s="30">
        <v>42848</v>
      </c>
      <c r="E416" s="13">
        <v>1</v>
      </c>
      <c r="F416" s="13">
        <v>0</v>
      </c>
      <c r="G416" s="13">
        <v>1</v>
      </c>
      <c r="H416" s="13">
        <v>0</v>
      </c>
      <c r="I416" s="13">
        <v>1</v>
      </c>
      <c r="J416" s="13">
        <v>0</v>
      </c>
      <c r="K416" s="55"/>
      <c r="L416" s="32"/>
      <c r="M416" s="145" t="str">
        <f t="shared" si="11"/>
        <v/>
      </c>
    </row>
    <row r="417" spans="2:13" x14ac:dyDescent="0.35">
      <c r="B417" s="10" t="s">
        <v>487</v>
      </c>
      <c r="C417" s="13" t="s">
        <v>20</v>
      </c>
      <c r="D417" s="30">
        <v>42899</v>
      </c>
      <c r="E417" s="13">
        <v>1</v>
      </c>
      <c r="F417" s="13">
        <v>0</v>
      </c>
      <c r="G417" s="13">
        <v>1</v>
      </c>
      <c r="H417" s="13">
        <v>0</v>
      </c>
      <c r="I417" s="13">
        <v>1</v>
      </c>
      <c r="J417" s="13">
        <v>0</v>
      </c>
      <c r="K417" s="55"/>
      <c r="L417" s="32"/>
      <c r="M417" s="145" t="str">
        <f t="shared" si="11"/>
        <v/>
      </c>
    </row>
    <row r="418" spans="2:13" x14ac:dyDescent="0.35">
      <c r="B418" s="10" t="s">
        <v>326</v>
      </c>
      <c r="C418" s="13" t="s">
        <v>31</v>
      </c>
      <c r="D418" s="30">
        <v>42854</v>
      </c>
      <c r="E418" s="13">
        <v>1</v>
      </c>
      <c r="F418" s="13">
        <v>0</v>
      </c>
      <c r="G418" s="13">
        <v>1</v>
      </c>
      <c r="H418" s="13">
        <v>0</v>
      </c>
      <c r="I418" s="13">
        <v>1</v>
      </c>
      <c r="J418" s="13">
        <v>0</v>
      </c>
      <c r="K418" s="55"/>
      <c r="L418" s="32"/>
      <c r="M418" s="145" t="str">
        <f t="shared" si="11"/>
        <v/>
      </c>
    </row>
    <row r="419" spans="2:13" x14ac:dyDescent="0.35">
      <c r="B419" s="10" t="s">
        <v>256</v>
      </c>
      <c r="C419" s="13" t="s">
        <v>20</v>
      </c>
      <c r="D419" s="30">
        <v>42868</v>
      </c>
      <c r="E419" s="13">
        <v>1</v>
      </c>
      <c r="F419" s="13">
        <v>0</v>
      </c>
      <c r="G419" s="13">
        <v>1</v>
      </c>
      <c r="H419" s="13">
        <v>0</v>
      </c>
      <c r="I419" s="13">
        <v>1</v>
      </c>
      <c r="J419" s="13">
        <v>0</v>
      </c>
      <c r="K419" s="55"/>
      <c r="L419" s="32"/>
      <c r="M419" s="145" t="str">
        <f t="shared" si="11"/>
        <v/>
      </c>
    </row>
    <row r="420" spans="2:13" x14ac:dyDescent="0.35">
      <c r="B420" s="10" t="s">
        <v>637</v>
      </c>
      <c r="C420" s="13" t="s">
        <v>20</v>
      </c>
      <c r="D420" s="30">
        <v>42885</v>
      </c>
      <c r="E420" s="13">
        <v>1</v>
      </c>
      <c r="F420" s="13">
        <v>0</v>
      </c>
      <c r="G420" s="13">
        <v>1</v>
      </c>
      <c r="H420" s="13">
        <v>0</v>
      </c>
      <c r="I420" s="13">
        <v>1</v>
      </c>
      <c r="J420" s="13">
        <v>0</v>
      </c>
      <c r="K420" s="55"/>
      <c r="L420" s="32"/>
      <c r="M420" s="145" t="str">
        <f t="shared" si="11"/>
        <v/>
      </c>
    </row>
    <row r="421" spans="2:13" x14ac:dyDescent="0.35">
      <c r="B421" s="10" t="s">
        <v>335</v>
      </c>
      <c r="C421" s="13" t="s">
        <v>20</v>
      </c>
      <c r="D421" s="30">
        <v>42865</v>
      </c>
      <c r="E421" s="13">
        <v>1</v>
      </c>
      <c r="F421" s="13">
        <v>0</v>
      </c>
      <c r="G421" s="13">
        <v>1</v>
      </c>
      <c r="H421" s="13">
        <v>0</v>
      </c>
      <c r="I421" s="13">
        <v>1</v>
      </c>
      <c r="J421" s="13">
        <v>0</v>
      </c>
      <c r="K421" s="55"/>
      <c r="L421" s="32"/>
      <c r="M421" s="145" t="str">
        <f t="shared" si="11"/>
        <v/>
      </c>
    </row>
    <row r="422" spans="2:13" x14ac:dyDescent="0.35">
      <c r="B422" s="10" t="s">
        <v>146</v>
      </c>
      <c r="C422" s="13" t="s">
        <v>20</v>
      </c>
      <c r="D422" s="30">
        <v>42881</v>
      </c>
      <c r="E422" s="13">
        <v>1</v>
      </c>
      <c r="F422" s="13">
        <v>0</v>
      </c>
      <c r="G422" s="13">
        <v>1</v>
      </c>
      <c r="H422" s="13">
        <v>0</v>
      </c>
      <c r="I422" s="13">
        <v>1</v>
      </c>
      <c r="J422" s="13">
        <v>0</v>
      </c>
      <c r="K422" s="55"/>
      <c r="L422" s="32"/>
      <c r="M422" s="145" t="str">
        <f t="shared" si="11"/>
        <v/>
      </c>
    </row>
    <row r="423" spans="2:13" x14ac:dyDescent="0.35">
      <c r="B423" s="10" t="s">
        <v>233</v>
      </c>
      <c r="C423" s="13" t="s">
        <v>31</v>
      </c>
      <c r="D423" s="30">
        <v>42826</v>
      </c>
      <c r="E423" s="13">
        <v>1</v>
      </c>
      <c r="F423" s="13">
        <v>0</v>
      </c>
      <c r="G423" s="13">
        <v>1</v>
      </c>
      <c r="H423" s="13">
        <v>0</v>
      </c>
      <c r="I423" s="13">
        <v>1</v>
      </c>
      <c r="J423" s="13">
        <v>0</v>
      </c>
      <c r="K423" s="55"/>
      <c r="L423" s="32"/>
      <c r="M423" s="145" t="str">
        <f t="shared" si="11"/>
        <v/>
      </c>
    </row>
    <row r="424" spans="2:13" x14ac:dyDescent="0.35">
      <c r="B424" s="10" t="s">
        <v>485</v>
      </c>
      <c r="C424" s="13" t="s">
        <v>31</v>
      </c>
      <c r="D424" s="30">
        <v>42861</v>
      </c>
      <c r="E424" s="13">
        <v>1</v>
      </c>
      <c r="F424" s="13">
        <v>0</v>
      </c>
      <c r="G424" s="13">
        <v>1</v>
      </c>
      <c r="H424" s="13">
        <v>0</v>
      </c>
      <c r="I424" s="13">
        <v>1</v>
      </c>
      <c r="J424" s="13">
        <v>0</v>
      </c>
      <c r="K424" s="55"/>
      <c r="L424" s="32"/>
      <c r="M424" s="145" t="str">
        <f t="shared" si="11"/>
        <v/>
      </c>
    </row>
    <row r="425" spans="2:13" x14ac:dyDescent="0.35">
      <c r="B425" s="10" t="s">
        <v>590</v>
      </c>
      <c r="C425" s="13" t="s">
        <v>31</v>
      </c>
      <c r="D425" s="30">
        <v>42864</v>
      </c>
      <c r="E425" s="13">
        <v>1</v>
      </c>
      <c r="F425" s="13">
        <v>0</v>
      </c>
      <c r="G425" s="13">
        <v>1</v>
      </c>
      <c r="H425" s="13">
        <v>0</v>
      </c>
      <c r="I425" s="13">
        <v>1</v>
      </c>
      <c r="J425" s="13">
        <v>0</v>
      </c>
      <c r="K425" s="55"/>
      <c r="L425" s="32"/>
      <c r="M425" s="145" t="str">
        <f t="shared" si="11"/>
        <v/>
      </c>
    </row>
    <row r="426" spans="2:13" x14ac:dyDescent="0.35">
      <c r="B426" s="10" t="s">
        <v>67</v>
      </c>
      <c r="C426" s="13" t="s">
        <v>31</v>
      </c>
      <c r="D426" s="30">
        <v>42858</v>
      </c>
      <c r="E426" s="13">
        <v>1</v>
      </c>
      <c r="F426" s="13">
        <v>0</v>
      </c>
      <c r="G426" s="13">
        <v>1</v>
      </c>
      <c r="H426" s="13">
        <v>0</v>
      </c>
      <c r="I426" s="13">
        <v>1</v>
      </c>
      <c r="J426" s="13">
        <v>0</v>
      </c>
      <c r="K426" s="55"/>
      <c r="L426" s="32"/>
      <c r="M426" s="145" t="str">
        <f t="shared" si="11"/>
        <v/>
      </c>
    </row>
    <row r="427" spans="2:13" x14ac:dyDescent="0.35">
      <c r="B427" s="10" t="s">
        <v>374</v>
      </c>
      <c r="C427" s="13" t="s">
        <v>20</v>
      </c>
      <c r="D427" s="30">
        <v>42851</v>
      </c>
      <c r="E427" s="13">
        <v>1</v>
      </c>
      <c r="F427" s="13">
        <v>0</v>
      </c>
      <c r="G427" s="13">
        <v>1</v>
      </c>
      <c r="H427" s="13">
        <v>0</v>
      </c>
      <c r="I427" s="13">
        <v>1</v>
      </c>
      <c r="J427" s="13">
        <v>0</v>
      </c>
      <c r="K427" s="55"/>
      <c r="L427" s="32"/>
      <c r="M427" s="145" t="str">
        <f t="shared" si="11"/>
        <v/>
      </c>
    </row>
    <row r="428" spans="2:13" x14ac:dyDescent="0.35">
      <c r="B428" s="10" t="s">
        <v>430</v>
      </c>
      <c r="C428" s="13" t="s">
        <v>31</v>
      </c>
      <c r="D428" s="30">
        <v>42883</v>
      </c>
      <c r="E428" s="13">
        <v>1</v>
      </c>
      <c r="F428" s="13">
        <v>0</v>
      </c>
      <c r="G428" s="13">
        <v>1</v>
      </c>
      <c r="H428" s="13">
        <v>0</v>
      </c>
      <c r="I428" s="13">
        <v>1</v>
      </c>
      <c r="J428" s="13">
        <v>0</v>
      </c>
      <c r="K428" s="55"/>
      <c r="L428" s="32"/>
      <c r="M428" s="145" t="str">
        <f t="shared" si="11"/>
        <v/>
      </c>
    </row>
    <row r="429" spans="2:13" x14ac:dyDescent="0.35">
      <c r="B429" s="10" t="s">
        <v>553</v>
      </c>
      <c r="C429" s="13" t="s">
        <v>20</v>
      </c>
      <c r="D429" s="30">
        <v>42844</v>
      </c>
      <c r="E429" s="13">
        <v>1</v>
      </c>
      <c r="F429" s="13">
        <v>0</v>
      </c>
      <c r="G429" s="13">
        <v>1</v>
      </c>
      <c r="H429" s="13">
        <v>0</v>
      </c>
      <c r="I429" s="13">
        <v>1</v>
      </c>
      <c r="J429" s="13">
        <v>0</v>
      </c>
      <c r="K429" s="55"/>
      <c r="L429" s="32"/>
      <c r="M429" s="145" t="str">
        <f t="shared" si="11"/>
        <v/>
      </c>
    </row>
    <row r="430" spans="2:13" x14ac:dyDescent="0.35">
      <c r="B430" s="10" t="s">
        <v>646</v>
      </c>
      <c r="C430" s="13" t="s">
        <v>31</v>
      </c>
      <c r="D430" s="30">
        <v>42855</v>
      </c>
      <c r="E430" s="13">
        <v>1</v>
      </c>
      <c r="F430" s="13">
        <v>0</v>
      </c>
      <c r="G430" s="13">
        <v>1</v>
      </c>
      <c r="H430" s="13">
        <v>0</v>
      </c>
      <c r="I430" s="13">
        <v>1</v>
      </c>
      <c r="J430" s="13">
        <v>0</v>
      </c>
      <c r="K430" s="55"/>
      <c r="L430" s="32"/>
      <c r="M430" s="145" t="str">
        <f t="shared" si="11"/>
        <v/>
      </c>
    </row>
    <row r="431" spans="2:13" x14ac:dyDescent="0.35">
      <c r="B431" s="10" t="s">
        <v>522</v>
      </c>
      <c r="C431" s="13" t="s">
        <v>20</v>
      </c>
      <c r="D431" s="30">
        <v>42892</v>
      </c>
      <c r="E431" s="13">
        <v>1</v>
      </c>
      <c r="F431" s="13">
        <v>0</v>
      </c>
      <c r="G431" s="13">
        <v>1</v>
      </c>
      <c r="H431" s="13">
        <v>0</v>
      </c>
      <c r="I431" s="13">
        <v>1</v>
      </c>
      <c r="J431" s="13">
        <v>0</v>
      </c>
      <c r="K431" s="55"/>
      <c r="L431" s="32"/>
      <c r="M431" s="145" t="str">
        <f t="shared" si="11"/>
        <v/>
      </c>
    </row>
    <row r="432" spans="2:13" x14ac:dyDescent="0.35">
      <c r="B432" s="10" t="s">
        <v>638</v>
      </c>
      <c r="C432" s="13" t="s">
        <v>20</v>
      </c>
      <c r="D432" s="30">
        <v>42862</v>
      </c>
      <c r="E432" s="13">
        <v>1</v>
      </c>
      <c r="F432" s="13">
        <v>0</v>
      </c>
      <c r="G432" s="13">
        <v>1</v>
      </c>
      <c r="H432" s="13">
        <v>0</v>
      </c>
      <c r="I432" s="13">
        <v>1</v>
      </c>
      <c r="J432" s="13">
        <v>0</v>
      </c>
      <c r="K432" s="55"/>
      <c r="L432" s="32"/>
      <c r="M432" s="145" t="str">
        <f t="shared" si="11"/>
        <v/>
      </c>
    </row>
    <row r="433" spans="2:13" x14ac:dyDescent="0.35">
      <c r="B433" s="10" t="s">
        <v>70</v>
      </c>
      <c r="C433" s="13" t="s">
        <v>31</v>
      </c>
      <c r="D433" s="30">
        <v>42912</v>
      </c>
      <c r="E433" s="13">
        <v>1</v>
      </c>
      <c r="F433" s="13">
        <v>0</v>
      </c>
      <c r="G433" s="13">
        <v>1</v>
      </c>
      <c r="H433" s="13">
        <v>0</v>
      </c>
      <c r="I433" s="13">
        <v>1</v>
      </c>
      <c r="J433" s="13">
        <v>0</v>
      </c>
      <c r="K433" s="55"/>
      <c r="L433" s="32"/>
      <c r="M433" s="145" t="str">
        <f t="shared" si="11"/>
        <v/>
      </c>
    </row>
    <row r="434" spans="2:13" x14ac:dyDescent="0.35">
      <c r="B434" s="10" t="s">
        <v>96</v>
      </c>
      <c r="C434" s="13" t="s">
        <v>31</v>
      </c>
      <c r="D434" s="30">
        <v>42855</v>
      </c>
      <c r="E434" s="13">
        <v>1</v>
      </c>
      <c r="F434" s="13">
        <v>0</v>
      </c>
      <c r="G434" s="13">
        <v>1</v>
      </c>
      <c r="H434" s="13">
        <v>0</v>
      </c>
      <c r="I434" s="13">
        <v>1</v>
      </c>
      <c r="J434" s="13">
        <v>0</v>
      </c>
      <c r="K434" s="55"/>
      <c r="L434" s="32"/>
      <c r="M434" s="145" t="str">
        <f t="shared" si="11"/>
        <v/>
      </c>
    </row>
    <row r="435" spans="2:13" x14ac:dyDescent="0.35">
      <c r="B435" s="10" t="s">
        <v>286</v>
      </c>
      <c r="C435" s="13" t="s">
        <v>20</v>
      </c>
      <c r="D435" s="30">
        <v>42884</v>
      </c>
      <c r="E435" s="13">
        <v>1</v>
      </c>
      <c r="F435" s="13">
        <v>0</v>
      </c>
      <c r="G435" s="13">
        <v>1</v>
      </c>
      <c r="H435" s="13">
        <v>0</v>
      </c>
      <c r="I435" s="13">
        <v>1</v>
      </c>
      <c r="J435" s="13">
        <v>0</v>
      </c>
      <c r="K435" s="55"/>
      <c r="L435" s="32"/>
      <c r="M435" s="145" t="str">
        <f t="shared" si="11"/>
        <v/>
      </c>
    </row>
    <row r="436" spans="2:13" x14ac:dyDescent="0.35">
      <c r="B436" s="10" t="s">
        <v>680</v>
      </c>
      <c r="C436" s="13" t="s">
        <v>31</v>
      </c>
      <c r="D436" s="30">
        <v>42905</v>
      </c>
      <c r="E436" s="13">
        <v>1</v>
      </c>
      <c r="F436" s="13">
        <v>0</v>
      </c>
      <c r="G436" s="13">
        <v>1</v>
      </c>
      <c r="H436" s="13">
        <v>0</v>
      </c>
      <c r="I436" s="13">
        <v>1</v>
      </c>
      <c r="J436" s="13">
        <v>0</v>
      </c>
      <c r="K436" s="55"/>
      <c r="L436" s="32"/>
      <c r="M436" s="145" t="str">
        <f t="shared" si="11"/>
        <v/>
      </c>
    </row>
    <row r="437" spans="2:13" x14ac:dyDescent="0.35">
      <c r="B437" s="10" t="s">
        <v>513</v>
      </c>
      <c r="C437" s="13" t="s">
        <v>20</v>
      </c>
      <c r="D437" s="30">
        <v>42852</v>
      </c>
      <c r="E437" s="13">
        <v>1</v>
      </c>
      <c r="F437" s="13">
        <v>0</v>
      </c>
      <c r="G437" s="13">
        <v>1</v>
      </c>
      <c r="H437" s="13">
        <v>0</v>
      </c>
      <c r="I437" s="13">
        <v>1</v>
      </c>
      <c r="J437" s="13">
        <v>0</v>
      </c>
      <c r="K437" s="55"/>
      <c r="L437" s="32"/>
      <c r="M437" s="145" t="str">
        <f t="shared" si="11"/>
        <v/>
      </c>
    </row>
    <row r="438" spans="2:13" x14ac:dyDescent="0.35">
      <c r="B438" s="10" t="s">
        <v>475</v>
      </c>
      <c r="C438" s="13" t="s">
        <v>20</v>
      </c>
      <c r="D438" s="30">
        <v>42827</v>
      </c>
      <c r="E438" s="13">
        <v>1</v>
      </c>
      <c r="F438" s="13">
        <v>0</v>
      </c>
      <c r="G438" s="13">
        <v>1</v>
      </c>
      <c r="H438" s="13">
        <v>0</v>
      </c>
      <c r="I438" s="13">
        <v>1</v>
      </c>
      <c r="J438" s="13">
        <v>0</v>
      </c>
      <c r="K438" s="55"/>
      <c r="L438" s="32"/>
      <c r="M438" s="145" t="str">
        <f t="shared" si="11"/>
        <v/>
      </c>
    </row>
    <row r="439" spans="2:13" x14ac:dyDescent="0.35">
      <c r="B439" s="10" t="s">
        <v>537</v>
      </c>
      <c r="C439" s="13" t="s">
        <v>20</v>
      </c>
      <c r="D439" s="30">
        <v>42901</v>
      </c>
      <c r="E439" s="13">
        <v>1</v>
      </c>
      <c r="F439" s="13">
        <v>0</v>
      </c>
      <c r="G439" s="13">
        <v>1</v>
      </c>
      <c r="H439" s="13">
        <v>0</v>
      </c>
      <c r="I439" s="13">
        <v>1</v>
      </c>
      <c r="J439" s="13">
        <v>0</v>
      </c>
      <c r="K439" s="55"/>
      <c r="L439" s="32"/>
      <c r="M439" s="145" t="str">
        <f t="shared" si="11"/>
        <v/>
      </c>
    </row>
    <row r="440" spans="2:13" x14ac:dyDescent="0.35">
      <c r="B440" s="10" t="s">
        <v>85</v>
      </c>
      <c r="C440" s="13" t="s">
        <v>20</v>
      </c>
      <c r="D440" s="30">
        <v>42852</v>
      </c>
      <c r="E440" s="13">
        <v>1</v>
      </c>
      <c r="F440" s="13">
        <v>0</v>
      </c>
      <c r="G440" s="13">
        <v>1</v>
      </c>
      <c r="H440" s="13">
        <v>0</v>
      </c>
      <c r="I440" s="13">
        <v>1</v>
      </c>
      <c r="J440" s="13">
        <v>0</v>
      </c>
      <c r="K440" s="55"/>
      <c r="L440" s="32"/>
      <c r="M440" s="145" t="str">
        <f t="shared" si="11"/>
        <v/>
      </c>
    </row>
    <row r="441" spans="2:13" x14ac:dyDescent="0.35">
      <c r="B441" s="10" t="s">
        <v>769</v>
      </c>
      <c r="C441" s="13" t="s">
        <v>20</v>
      </c>
      <c r="D441" s="30">
        <v>42877</v>
      </c>
      <c r="E441" s="13">
        <v>1</v>
      </c>
      <c r="F441" s="13">
        <v>0</v>
      </c>
      <c r="G441" s="13">
        <v>1</v>
      </c>
      <c r="H441" s="13">
        <v>0</v>
      </c>
      <c r="I441" s="13">
        <v>1</v>
      </c>
      <c r="J441" s="13">
        <v>0</v>
      </c>
      <c r="K441" s="55"/>
      <c r="L441" s="32"/>
      <c r="M441" s="145" t="str">
        <f t="shared" si="11"/>
        <v/>
      </c>
    </row>
    <row r="442" spans="2:13" x14ac:dyDescent="0.35">
      <c r="B442" s="10" t="s">
        <v>271</v>
      </c>
      <c r="C442" s="13" t="s">
        <v>31</v>
      </c>
      <c r="D442" s="30">
        <v>42869</v>
      </c>
      <c r="E442" s="13">
        <v>1</v>
      </c>
      <c r="F442" s="13">
        <v>0</v>
      </c>
      <c r="G442" s="13">
        <v>1</v>
      </c>
      <c r="H442" s="13">
        <v>0</v>
      </c>
      <c r="I442" s="13">
        <v>1</v>
      </c>
      <c r="J442" s="13">
        <v>0</v>
      </c>
      <c r="K442" s="55"/>
      <c r="L442" s="32"/>
      <c r="M442" s="145" t="str">
        <f t="shared" si="11"/>
        <v/>
      </c>
    </row>
    <row r="443" spans="2:13" x14ac:dyDescent="0.35">
      <c r="B443" s="10" t="s">
        <v>644</v>
      </c>
      <c r="C443" s="13" t="s">
        <v>31</v>
      </c>
      <c r="D443" s="30">
        <v>42832</v>
      </c>
      <c r="E443" s="13">
        <v>1</v>
      </c>
      <c r="F443" s="13">
        <v>0</v>
      </c>
      <c r="G443" s="13">
        <v>1</v>
      </c>
      <c r="H443" s="13">
        <v>0</v>
      </c>
      <c r="I443" s="13">
        <v>1</v>
      </c>
      <c r="J443" s="13">
        <v>0</v>
      </c>
      <c r="K443" s="55"/>
      <c r="L443" s="32"/>
      <c r="M443" s="145" t="str">
        <f t="shared" si="11"/>
        <v/>
      </c>
    </row>
    <row r="444" spans="2:13" x14ac:dyDescent="0.35">
      <c r="B444" s="10" t="s">
        <v>99</v>
      </c>
      <c r="C444" s="13" t="s">
        <v>31</v>
      </c>
      <c r="D444" s="30">
        <v>42868</v>
      </c>
      <c r="E444" s="13">
        <v>1</v>
      </c>
      <c r="F444" s="13">
        <v>0</v>
      </c>
      <c r="G444" s="13">
        <v>1</v>
      </c>
      <c r="H444" s="13">
        <v>0</v>
      </c>
      <c r="I444" s="13">
        <v>1</v>
      </c>
      <c r="J444" s="13">
        <v>0</v>
      </c>
      <c r="K444" s="55"/>
      <c r="L444" s="32"/>
      <c r="M444" s="145" t="str">
        <f t="shared" si="11"/>
        <v/>
      </c>
    </row>
    <row r="445" spans="2:13" x14ac:dyDescent="0.35">
      <c r="B445" s="10" t="s">
        <v>378</v>
      </c>
      <c r="C445" s="13" t="s">
        <v>31</v>
      </c>
      <c r="D445" s="30">
        <v>42827</v>
      </c>
      <c r="E445" s="13">
        <v>1</v>
      </c>
      <c r="F445" s="13">
        <v>0</v>
      </c>
      <c r="G445" s="13">
        <v>1</v>
      </c>
      <c r="H445" s="13">
        <v>0</v>
      </c>
      <c r="I445" s="13">
        <v>1</v>
      </c>
      <c r="J445" s="13">
        <v>0</v>
      </c>
      <c r="K445" s="55"/>
      <c r="L445" s="32"/>
      <c r="M445" s="145" t="str">
        <f t="shared" si="11"/>
        <v/>
      </c>
    </row>
    <row r="446" spans="2:13" x14ac:dyDescent="0.35">
      <c r="B446" s="10" t="s">
        <v>450</v>
      </c>
      <c r="C446" s="13" t="s">
        <v>20</v>
      </c>
      <c r="D446" s="30">
        <v>42875</v>
      </c>
      <c r="E446" s="13">
        <v>1</v>
      </c>
      <c r="F446" s="13">
        <v>0</v>
      </c>
      <c r="G446" s="13">
        <v>1</v>
      </c>
      <c r="H446" s="13">
        <v>0</v>
      </c>
      <c r="I446" s="13">
        <v>1</v>
      </c>
      <c r="J446" s="13">
        <v>0</v>
      </c>
      <c r="K446" s="55"/>
      <c r="L446" s="32"/>
      <c r="M446" s="145" t="str">
        <f t="shared" si="11"/>
        <v/>
      </c>
    </row>
    <row r="447" spans="2:13" x14ac:dyDescent="0.35">
      <c r="B447" s="10" t="s">
        <v>589</v>
      </c>
      <c r="C447" s="13" t="s">
        <v>20</v>
      </c>
      <c r="D447" s="30">
        <v>42887</v>
      </c>
      <c r="E447" s="13">
        <v>1</v>
      </c>
      <c r="F447" s="13">
        <v>0</v>
      </c>
      <c r="G447" s="13">
        <v>1</v>
      </c>
      <c r="H447" s="13">
        <v>0</v>
      </c>
      <c r="I447" s="13">
        <v>1</v>
      </c>
      <c r="J447" s="13">
        <v>0</v>
      </c>
      <c r="K447" s="55"/>
      <c r="L447" s="32"/>
      <c r="M447" s="145" t="str">
        <f t="shared" si="11"/>
        <v/>
      </c>
    </row>
    <row r="448" spans="2:13" x14ac:dyDescent="0.35">
      <c r="B448" s="10" t="s">
        <v>483</v>
      </c>
      <c r="C448" s="13" t="s">
        <v>31</v>
      </c>
      <c r="D448" s="30">
        <v>42849</v>
      </c>
      <c r="E448" s="13">
        <v>1</v>
      </c>
      <c r="F448" s="13">
        <v>0</v>
      </c>
      <c r="G448" s="13">
        <v>1</v>
      </c>
      <c r="H448" s="13">
        <v>0</v>
      </c>
      <c r="I448" s="13">
        <v>1</v>
      </c>
      <c r="J448" s="13">
        <v>0</v>
      </c>
      <c r="K448" s="55"/>
      <c r="L448" s="32"/>
      <c r="M448" s="145" t="str">
        <f t="shared" si="11"/>
        <v/>
      </c>
    </row>
    <row r="449" spans="2:13" x14ac:dyDescent="0.35">
      <c r="B449" s="10" t="s">
        <v>406</v>
      </c>
      <c r="C449" s="13" t="s">
        <v>31</v>
      </c>
      <c r="D449" s="30">
        <v>42861</v>
      </c>
      <c r="E449" s="13">
        <v>1</v>
      </c>
      <c r="F449" s="13">
        <v>0</v>
      </c>
      <c r="G449" s="13">
        <v>1</v>
      </c>
      <c r="H449" s="13">
        <v>0</v>
      </c>
      <c r="I449" s="13">
        <v>1</v>
      </c>
      <c r="J449" s="13">
        <v>0</v>
      </c>
      <c r="K449" s="55"/>
      <c r="L449" s="32"/>
      <c r="M449" s="145" t="str">
        <f t="shared" si="11"/>
        <v/>
      </c>
    </row>
    <row r="450" spans="2:13" x14ac:dyDescent="0.35">
      <c r="B450" s="10" t="s">
        <v>114</v>
      </c>
      <c r="C450" s="13" t="s">
        <v>20</v>
      </c>
      <c r="D450" s="30">
        <v>42875</v>
      </c>
      <c r="E450" s="13">
        <v>1</v>
      </c>
      <c r="F450" s="13">
        <v>0</v>
      </c>
      <c r="G450" s="13">
        <v>1</v>
      </c>
      <c r="H450" s="13">
        <v>0</v>
      </c>
      <c r="I450" s="13">
        <v>1</v>
      </c>
      <c r="J450" s="13">
        <v>0</v>
      </c>
      <c r="K450" s="55"/>
      <c r="L450" s="32"/>
      <c r="M450" s="145" t="str">
        <f t="shared" si="11"/>
        <v/>
      </c>
    </row>
    <row r="451" spans="2:13" x14ac:dyDescent="0.35">
      <c r="B451" s="10" t="s">
        <v>607</v>
      </c>
      <c r="C451" s="13" t="s">
        <v>31</v>
      </c>
      <c r="D451" s="30">
        <v>42898</v>
      </c>
      <c r="E451" s="13">
        <v>1</v>
      </c>
      <c r="F451" s="13">
        <v>0</v>
      </c>
      <c r="G451" s="13">
        <v>1</v>
      </c>
      <c r="H451" s="13">
        <v>0</v>
      </c>
      <c r="I451" s="13">
        <v>1</v>
      </c>
      <c r="J451" s="13">
        <v>0</v>
      </c>
      <c r="K451" s="55"/>
      <c r="L451" s="32"/>
      <c r="M451" s="145" t="str">
        <f t="shared" si="11"/>
        <v/>
      </c>
    </row>
    <row r="452" spans="2:13" x14ac:dyDescent="0.35">
      <c r="B452" s="10" t="s">
        <v>554</v>
      </c>
      <c r="C452" s="13" t="s">
        <v>31</v>
      </c>
      <c r="D452" s="30">
        <v>42856</v>
      </c>
      <c r="E452" s="13">
        <v>1</v>
      </c>
      <c r="F452" s="13">
        <v>0</v>
      </c>
      <c r="G452" s="13">
        <v>1</v>
      </c>
      <c r="H452" s="13">
        <v>0</v>
      </c>
      <c r="I452" s="13">
        <v>1</v>
      </c>
      <c r="J452" s="13">
        <v>0</v>
      </c>
      <c r="K452" s="55"/>
      <c r="L452" s="32"/>
      <c r="M452" s="145" t="str">
        <f t="shared" si="11"/>
        <v/>
      </c>
    </row>
    <row r="453" spans="2:13" x14ac:dyDescent="0.35">
      <c r="B453" s="10" t="s">
        <v>630</v>
      </c>
      <c r="C453" s="13" t="s">
        <v>20</v>
      </c>
      <c r="D453" s="30">
        <v>42861</v>
      </c>
      <c r="E453" s="13">
        <v>1</v>
      </c>
      <c r="F453" s="13">
        <v>0</v>
      </c>
      <c r="G453" s="13">
        <v>1</v>
      </c>
      <c r="H453" s="13">
        <v>0</v>
      </c>
      <c r="I453" s="13">
        <v>1</v>
      </c>
      <c r="J453" s="13">
        <v>0</v>
      </c>
      <c r="K453" s="55"/>
      <c r="L453" s="32"/>
      <c r="M453" s="145" t="str">
        <f t="shared" si="11"/>
        <v/>
      </c>
    </row>
    <row r="454" spans="2:13" x14ac:dyDescent="0.35">
      <c r="B454" s="10" t="s">
        <v>158</v>
      </c>
      <c r="C454" s="13" t="s">
        <v>20</v>
      </c>
      <c r="D454" s="30">
        <v>42872</v>
      </c>
      <c r="E454" s="13">
        <v>1</v>
      </c>
      <c r="F454" s="13">
        <v>0</v>
      </c>
      <c r="G454" s="13">
        <v>1</v>
      </c>
      <c r="H454" s="13">
        <v>0</v>
      </c>
      <c r="I454" s="13">
        <v>1</v>
      </c>
      <c r="J454" s="13">
        <v>0</v>
      </c>
      <c r="K454" s="55"/>
      <c r="L454" s="32"/>
      <c r="M454" s="145" t="str">
        <f t="shared" si="11"/>
        <v/>
      </c>
    </row>
    <row r="455" spans="2:13" x14ac:dyDescent="0.35">
      <c r="B455" s="10" t="s">
        <v>123</v>
      </c>
      <c r="C455" s="13" t="s">
        <v>31</v>
      </c>
      <c r="D455" s="30">
        <v>42901</v>
      </c>
      <c r="E455" s="13">
        <v>1</v>
      </c>
      <c r="F455" s="13">
        <v>0</v>
      </c>
      <c r="G455" s="13">
        <v>1</v>
      </c>
      <c r="H455" s="13">
        <v>0</v>
      </c>
      <c r="I455" s="13">
        <v>1</v>
      </c>
      <c r="J455" s="13">
        <v>0</v>
      </c>
      <c r="K455" s="55"/>
      <c r="L455" s="32"/>
      <c r="M455" s="145" t="str">
        <f t="shared" ref="M455:M518" si="12">IF(K455="", "", K455-D455)</f>
        <v/>
      </c>
    </row>
    <row r="456" spans="2:13" x14ac:dyDescent="0.35">
      <c r="B456" s="10" t="s">
        <v>754</v>
      </c>
      <c r="C456" s="13" t="s">
        <v>31</v>
      </c>
      <c r="D456" s="30">
        <v>42888</v>
      </c>
      <c r="E456" s="13">
        <v>1</v>
      </c>
      <c r="F456" s="13">
        <v>0</v>
      </c>
      <c r="G456" s="13">
        <v>1</v>
      </c>
      <c r="H456" s="13">
        <v>0</v>
      </c>
      <c r="I456" s="13">
        <v>1</v>
      </c>
      <c r="J456" s="13">
        <v>0</v>
      </c>
      <c r="K456" s="55"/>
      <c r="L456" s="32"/>
      <c r="M456" s="145" t="str">
        <f t="shared" si="12"/>
        <v/>
      </c>
    </row>
    <row r="457" spans="2:13" x14ac:dyDescent="0.35">
      <c r="B457" s="10" t="s">
        <v>370</v>
      </c>
      <c r="C457" s="13" t="s">
        <v>20</v>
      </c>
      <c r="D457" s="30">
        <v>42910</v>
      </c>
      <c r="E457" s="13">
        <v>1</v>
      </c>
      <c r="F457" s="13">
        <v>0</v>
      </c>
      <c r="G457" s="13">
        <v>1</v>
      </c>
      <c r="H457" s="13">
        <v>0</v>
      </c>
      <c r="I457" s="13">
        <v>1</v>
      </c>
      <c r="J457" s="13">
        <v>0</v>
      </c>
      <c r="K457" s="55"/>
      <c r="L457" s="32"/>
      <c r="M457" s="145" t="str">
        <f t="shared" si="12"/>
        <v/>
      </c>
    </row>
    <row r="458" spans="2:13" x14ac:dyDescent="0.35">
      <c r="B458" s="10" t="s">
        <v>507</v>
      </c>
      <c r="C458" s="13" t="s">
        <v>31</v>
      </c>
      <c r="D458" s="30">
        <v>42882</v>
      </c>
      <c r="E458" s="13">
        <v>1</v>
      </c>
      <c r="F458" s="13">
        <v>0</v>
      </c>
      <c r="G458" s="13">
        <v>1</v>
      </c>
      <c r="H458" s="13">
        <v>0</v>
      </c>
      <c r="I458" s="13">
        <v>1</v>
      </c>
      <c r="J458" s="13">
        <v>0</v>
      </c>
      <c r="K458" s="55"/>
      <c r="L458" s="32"/>
      <c r="M458" s="145" t="str">
        <f t="shared" si="12"/>
        <v/>
      </c>
    </row>
    <row r="459" spans="2:13" x14ac:dyDescent="0.35">
      <c r="B459" s="10" t="s">
        <v>493</v>
      </c>
      <c r="C459" s="13" t="s">
        <v>31</v>
      </c>
      <c r="D459" s="30">
        <v>42915</v>
      </c>
      <c r="E459" s="13">
        <v>1</v>
      </c>
      <c r="F459" s="13">
        <v>0</v>
      </c>
      <c r="G459" s="13">
        <v>1</v>
      </c>
      <c r="H459" s="13">
        <v>0</v>
      </c>
      <c r="I459" s="13">
        <v>1</v>
      </c>
      <c r="J459" s="13">
        <v>0</v>
      </c>
      <c r="K459" s="55"/>
      <c r="L459" s="32"/>
      <c r="M459" s="145" t="str">
        <f t="shared" si="12"/>
        <v/>
      </c>
    </row>
    <row r="460" spans="2:13" x14ac:dyDescent="0.35">
      <c r="B460" s="10" t="s">
        <v>255</v>
      </c>
      <c r="C460" s="13" t="s">
        <v>20</v>
      </c>
      <c r="D460" s="30">
        <v>42869</v>
      </c>
      <c r="E460" s="13">
        <v>1</v>
      </c>
      <c r="F460" s="13">
        <v>0</v>
      </c>
      <c r="G460" s="13">
        <v>1</v>
      </c>
      <c r="H460" s="13">
        <v>0</v>
      </c>
      <c r="I460" s="13">
        <v>1</v>
      </c>
      <c r="J460" s="13">
        <v>0</v>
      </c>
      <c r="K460" s="55"/>
      <c r="L460" s="32"/>
      <c r="M460" s="145" t="str">
        <f t="shared" si="12"/>
        <v/>
      </c>
    </row>
    <row r="461" spans="2:13" x14ac:dyDescent="0.35">
      <c r="B461" s="10" t="s">
        <v>767</v>
      </c>
      <c r="C461" s="13" t="s">
        <v>20</v>
      </c>
      <c r="D461" s="30">
        <v>42850</v>
      </c>
      <c r="E461" s="13">
        <v>1</v>
      </c>
      <c r="F461" s="13">
        <v>0</v>
      </c>
      <c r="G461" s="13">
        <v>1</v>
      </c>
      <c r="H461" s="13">
        <v>0</v>
      </c>
      <c r="I461" s="13">
        <v>1</v>
      </c>
      <c r="J461" s="13">
        <v>0</v>
      </c>
      <c r="K461" s="55"/>
      <c r="L461" s="32"/>
      <c r="M461" s="145" t="str">
        <f t="shared" si="12"/>
        <v/>
      </c>
    </row>
    <row r="462" spans="2:13" x14ac:dyDescent="0.35">
      <c r="B462" s="10" t="s">
        <v>338</v>
      </c>
      <c r="C462" s="13" t="s">
        <v>20</v>
      </c>
      <c r="D462" s="30">
        <v>42855</v>
      </c>
      <c r="E462" s="13">
        <v>0</v>
      </c>
      <c r="F462" s="13">
        <v>0</v>
      </c>
      <c r="G462" s="13">
        <v>1</v>
      </c>
      <c r="H462" s="13">
        <v>0</v>
      </c>
      <c r="I462" s="13">
        <v>1</v>
      </c>
      <c r="J462" s="13">
        <v>0</v>
      </c>
      <c r="K462" s="55"/>
      <c r="L462" s="32"/>
      <c r="M462" s="145" t="str">
        <f t="shared" si="12"/>
        <v/>
      </c>
    </row>
    <row r="463" spans="2:13" x14ac:dyDescent="0.35">
      <c r="B463" s="10" t="s">
        <v>65</v>
      </c>
      <c r="C463" s="13" t="s">
        <v>20</v>
      </c>
      <c r="D463" s="30">
        <v>42833</v>
      </c>
      <c r="E463" s="13">
        <v>0</v>
      </c>
      <c r="F463" s="13">
        <v>0</v>
      </c>
      <c r="G463" s="13">
        <v>1</v>
      </c>
      <c r="H463" s="13">
        <v>0</v>
      </c>
      <c r="I463" s="13">
        <v>1</v>
      </c>
      <c r="J463" s="13">
        <v>0</v>
      </c>
      <c r="K463" s="55"/>
      <c r="L463" s="32"/>
      <c r="M463" s="145" t="str">
        <f t="shared" si="12"/>
        <v/>
      </c>
    </row>
    <row r="464" spans="2:13" x14ac:dyDescent="0.35">
      <c r="B464" s="10" t="s">
        <v>319</v>
      </c>
      <c r="C464" s="13" t="s">
        <v>31</v>
      </c>
      <c r="D464" s="30">
        <v>42883</v>
      </c>
      <c r="E464" s="13">
        <v>0</v>
      </c>
      <c r="F464" s="13">
        <v>0</v>
      </c>
      <c r="G464" s="13">
        <v>1</v>
      </c>
      <c r="H464" s="13">
        <v>0</v>
      </c>
      <c r="I464" s="13">
        <v>1</v>
      </c>
      <c r="J464" s="13">
        <v>0</v>
      </c>
      <c r="K464" s="55"/>
      <c r="L464" s="32"/>
      <c r="M464" s="145" t="str">
        <f t="shared" si="12"/>
        <v/>
      </c>
    </row>
    <row r="465" spans="2:13" x14ac:dyDescent="0.35">
      <c r="B465" s="10" t="s">
        <v>404</v>
      </c>
      <c r="C465" s="13" t="s">
        <v>20</v>
      </c>
      <c r="D465" s="30">
        <v>42912</v>
      </c>
      <c r="E465" s="13">
        <v>0</v>
      </c>
      <c r="F465" s="13">
        <v>0</v>
      </c>
      <c r="G465" s="13">
        <v>1</v>
      </c>
      <c r="H465" s="13">
        <v>0</v>
      </c>
      <c r="I465" s="13">
        <v>1</v>
      </c>
      <c r="J465" s="13">
        <v>0</v>
      </c>
      <c r="K465" s="55"/>
      <c r="L465" s="32"/>
      <c r="M465" s="145" t="str">
        <f t="shared" si="12"/>
        <v/>
      </c>
    </row>
    <row r="466" spans="2:13" x14ac:dyDescent="0.35">
      <c r="B466" s="10" t="s">
        <v>180</v>
      </c>
      <c r="C466" s="13" t="s">
        <v>31</v>
      </c>
      <c r="D466" s="30">
        <v>42846</v>
      </c>
      <c r="E466" s="13">
        <v>0</v>
      </c>
      <c r="F466" s="13">
        <v>0</v>
      </c>
      <c r="G466" s="13">
        <v>1</v>
      </c>
      <c r="H466" s="13">
        <v>0</v>
      </c>
      <c r="I466" s="13">
        <v>1</v>
      </c>
      <c r="J466" s="13">
        <v>0</v>
      </c>
      <c r="K466" s="55"/>
      <c r="L466" s="32"/>
      <c r="M466" s="145" t="str">
        <f t="shared" si="12"/>
        <v/>
      </c>
    </row>
    <row r="467" spans="2:13" x14ac:dyDescent="0.35">
      <c r="B467" s="10" t="s">
        <v>423</v>
      </c>
      <c r="C467" s="13" t="s">
        <v>31</v>
      </c>
      <c r="D467" s="30">
        <v>42897</v>
      </c>
      <c r="E467" s="13">
        <v>0</v>
      </c>
      <c r="F467" s="13">
        <v>0</v>
      </c>
      <c r="G467" s="13">
        <v>1</v>
      </c>
      <c r="H467" s="13">
        <v>0</v>
      </c>
      <c r="I467" s="13">
        <v>1</v>
      </c>
      <c r="J467" s="13">
        <v>0</v>
      </c>
      <c r="K467" s="55"/>
      <c r="L467" s="32"/>
      <c r="M467" s="145" t="str">
        <f t="shared" si="12"/>
        <v/>
      </c>
    </row>
    <row r="468" spans="2:13" x14ac:dyDescent="0.35">
      <c r="B468" s="10" t="s">
        <v>347</v>
      </c>
      <c r="C468" s="13" t="s">
        <v>20</v>
      </c>
      <c r="D468" s="30">
        <v>42855</v>
      </c>
      <c r="E468" s="13">
        <v>0</v>
      </c>
      <c r="F468" s="13">
        <v>0</v>
      </c>
      <c r="G468" s="13">
        <v>1</v>
      </c>
      <c r="H468" s="13">
        <v>0</v>
      </c>
      <c r="I468" s="13">
        <v>1</v>
      </c>
      <c r="J468" s="13">
        <v>0</v>
      </c>
      <c r="K468" s="55"/>
      <c r="L468" s="32"/>
      <c r="M468" s="145" t="str">
        <f t="shared" si="12"/>
        <v/>
      </c>
    </row>
    <row r="469" spans="2:13" x14ac:dyDescent="0.35">
      <c r="B469" s="10" t="s">
        <v>71</v>
      </c>
      <c r="C469" s="13" t="s">
        <v>31</v>
      </c>
      <c r="D469" s="30">
        <v>42915</v>
      </c>
      <c r="E469" s="13">
        <v>0</v>
      </c>
      <c r="F469" s="13">
        <v>0</v>
      </c>
      <c r="G469" s="13">
        <v>1</v>
      </c>
      <c r="H469" s="13">
        <v>0</v>
      </c>
      <c r="I469" s="13">
        <v>1</v>
      </c>
      <c r="J469" s="13">
        <v>0</v>
      </c>
      <c r="K469" s="55"/>
      <c r="L469" s="32"/>
      <c r="M469" s="145" t="str">
        <f t="shared" si="12"/>
        <v/>
      </c>
    </row>
    <row r="470" spans="2:13" x14ac:dyDescent="0.35">
      <c r="B470" s="10" t="s">
        <v>342</v>
      </c>
      <c r="C470" s="13" t="s">
        <v>20</v>
      </c>
      <c r="D470" s="30">
        <v>42879</v>
      </c>
      <c r="E470" s="13">
        <v>0</v>
      </c>
      <c r="F470" s="13">
        <v>0</v>
      </c>
      <c r="G470" s="13">
        <v>1</v>
      </c>
      <c r="H470" s="13">
        <v>0</v>
      </c>
      <c r="I470" s="13">
        <v>1</v>
      </c>
      <c r="J470" s="13">
        <v>0</v>
      </c>
      <c r="K470" s="55"/>
      <c r="L470" s="32"/>
      <c r="M470" s="145" t="str">
        <f t="shared" si="12"/>
        <v/>
      </c>
    </row>
    <row r="471" spans="2:13" x14ac:dyDescent="0.35">
      <c r="B471" s="10" t="s">
        <v>181</v>
      </c>
      <c r="C471" s="13" t="s">
        <v>31</v>
      </c>
      <c r="D471" s="30">
        <v>42883</v>
      </c>
      <c r="E471" s="13">
        <v>0</v>
      </c>
      <c r="F471" s="13">
        <v>0</v>
      </c>
      <c r="G471" s="13">
        <v>1</v>
      </c>
      <c r="H471" s="13">
        <v>0</v>
      </c>
      <c r="I471" s="13">
        <v>1</v>
      </c>
      <c r="J471" s="13">
        <v>0</v>
      </c>
      <c r="K471" s="55"/>
      <c r="L471" s="32"/>
      <c r="M471" s="145" t="str">
        <f t="shared" si="12"/>
        <v/>
      </c>
    </row>
    <row r="472" spans="2:13" x14ac:dyDescent="0.35">
      <c r="B472" s="10" t="s">
        <v>494</v>
      </c>
      <c r="C472" s="13" t="s">
        <v>20</v>
      </c>
      <c r="D472" s="30">
        <v>42840</v>
      </c>
      <c r="E472" s="13">
        <v>0</v>
      </c>
      <c r="F472" s="13">
        <v>0</v>
      </c>
      <c r="G472" s="13">
        <v>1</v>
      </c>
      <c r="H472" s="13">
        <v>0</v>
      </c>
      <c r="I472" s="13">
        <v>1</v>
      </c>
      <c r="J472" s="13">
        <v>0</v>
      </c>
      <c r="K472" s="55"/>
      <c r="L472" s="32"/>
      <c r="M472" s="145" t="str">
        <f t="shared" si="12"/>
        <v/>
      </c>
    </row>
    <row r="473" spans="2:13" x14ac:dyDescent="0.35">
      <c r="B473" s="10" t="s">
        <v>373</v>
      </c>
      <c r="C473" s="13" t="s">
        <v>31</v>
      </c>
      <c r="D473" s="30">
        <v>42914</v>
      </c>
      <c r="E473" s="13">
        <v>0</v>
      </c>
      <c r="F473" s="13">
        <v>0</v>
      </c>
      <c r="G473" s="13">
        <v>1</v>
      </c>
      <c r="H473" s="13">
        <v>0</v>
      </c>
      <c r="I473" s="13">
        <v>1</v>
      </c>
      <c r="J473" s="13">
        <v>0</v>
      </c>
      <c r="K473" s="55"/>
      <c r="L473" s="32"/>
      <c r="M473" s="145" t="str">
        <f t="shared" si="12"/>
        <v/>
      </c>
    </row>
    <row r="474" spans="2:13" x14ac:dyDescent="0.35">
      <c r="B474" s="10" t="s">
        <v>400</v>
      </c>
      <c r="C474" s="13" t="s">
        <v>31</v>
      </c>
      <c r="D474" s="30">
        <v>42861</v>
      </c>
      <c r="E474" s="13">
        <v>0</v>
      </c>
      <c r="F474" s="13">
        <v>0</v>
      </c>
      <c r="G474" s="13">
        <v>1</v>
      </c>
      <c r="H474" s="13">
        <v>0</v>
      </c>
      <c r="I474" s="13">
        <v>1</v>
      </c>
      <c r="J474" s="13">
        <v>0</v>
      </c>
      <c r="K474" s="55"/>
      <c r="L474" s="32"/>
      <c r="M474" s="145" t="str">
        <f t="shared" si="12"/>
        <v/>
      </c>
    </row>
    <row r="475" spans="2:13" x14ac:dyDescent="0.35">
      <c r="B475" s="10" t="s">
        <v>420</v>
      </c>
      <c r="C475" s="13" t="s">
        <v>20</v>
      </c>
      <c r="D475" s="30">
        <v>42847</v>
      </c>
      <c r="E475" s="13">
        <v>0</v>
      </c>
      <c r="F475" s="13">
        <v>0</v>
      </c>
      <c r="G475" s="13">
        <v>1</v>
      </c>
      <c r="H475" s="13">
        <v>0</v>
      </c>
      <c r="I475" s="13">
        <v>1</v>
      </c>
      <c r="J475" s="13">
        <v>0</v>
      </c>
      <c r="K475" s="55"/>
      <c r="L475" s="32"/>
      <c r="M475" s="145" t="str">
        <f t="shared" si="12"/>
        <v/>
      </c>
    </row>
    <row r="476" spans="2:13" x14ac:dyDescent="0.35">
      <c r="B476" s="10" t="s">
        <v>196</v>
      </c>
      <c r="C476" s="13" t="s">
        <v>20</v>
      </c>
      <c r="D476" s="30">
        <v>42834</v>
      </c>
      <c r="E476" s="13">
        <v>0</v>
      </c>
      <c r="F476" s="13">
        <v>0</v>
      </c>
      <c r="G476" s="13">
        <v>1</v>
      </c>
      <c r="H476" s="13">
        <v>0</v>
      </c>
      <c r="I476" s="13">
        <v>1</v>
      </c>
      <c r="J476" s="13">
        <v>0</v>
      </c>
      <c r="K476" s="55"/>
      <c r="L476" s="32"/>
      <c r="M476" s="145" t="str">
        <f t="shared" si="12"/>
        <v/>
      </c>
    </row>
    <row r="477" spans="2:13" x14ac:dyDescent="0.35">
      <c r="B477" s="10" t="s">
        <v>511</v>
      </c>
      <c r="C477" s="13" t="s">
        <v>31</v>
      </c>
      <c r="D477" s="30">
        <v>42916</v>
      </c>
      <c r="E477" s="13">
        <v>0</v>
      </c>
      <c r="F477" s="13">
        <v>0</v>
      </c>
      <c r="G477" s="13">
        <v>1</v>
      </c>
      <c r="H477" s="13">
        <v>0</v>
      </c>
      <c r="I477" s="13">
        <v>1</v>
      </c>
      <c r="J477" s="13">
        <v>0</v>
      </c>
      <c r="K477" s="55"/>
      <c r="L477" s="32"/>
      <c r="M477" s="145" t="str">
        <f t="shared" si="12"/>
        <v/>
      </c>
    </row>
    <row r="478" spans="2:13" x14ac:dyDescent="0.35">
      <c r="B478" s="10" t="s">
        <v>739</v>
      </c>
      <c r="C478" s="13" t="s">
        <v>20</v>
      </c>
      <c r="D478" s="30">
        <v>42861</v>
      </c>
      <c r="E478" s="13">
        <v>0</v>
      </c>
      <c r="F478" s="13">
        <v>0</v>
      </c>
      <c r="G478" s="13">
        <v>1</v>
      </c>
      <c r="H478" s="13">
        <v>0</v>
      </c>
      <c r="I478" s="13">
        <v>1</v>
      </c>
      <c r="J478" s="13">
        <v>0</v>
      </c>
      <c r="K478" s="55"/>
      <c r="L478" s="32"/>
      <c r="M478" s="145" t="str">
        <f t="shared" si="12"/>
        <v/>
      </c>
    </row>
    <row r="479" spans="2:13" x14ac:dyDescent="0.35">
      <c r="B479" s="10" t="s">
        <v>91</v>
      </c>
      <c r="C479" s="13" t="s">
        <v>20</v>
      </c>
      <c r="D479" s="30">
        <v>42828</v>
      </c>
      <c r="E479" s="13">
        <v>0</v>
      </c>
      <c r="F479" s="13">
        <v>0</v>
      </c>
      <c r="G479" s="13">
        <v>1</v>
      </c>
      <c r="H479" s="13">
        <v>0</v>
      </c>
      <c r="I479" s="13">
        <v>1</v>
      </c>
      <c r="J479" s="13">
        <v>0</v>
      </c>
      <c r="K479" s="55"/>
      <c r="L479" s="32"/>
      <c r="M479" s="145" t="str">
        <f t="shared" si="12"/>
        <v/>
      </c>
    </row>
    <row r="480" spans="2:13" x14ac:dyDescent="0.35">
      <c r="B480" s="10" t="s">
        <v>222</v>
      </c>
      <c r="C480" s="13" t="s">
        <v>20</v>
      </c>
      <c r="D480" s="30">
        <v>42835</v>
      </c>
      <c r="E480" s="13">
        <v>0</v>
      </c>
      <c r="F480" s="13">
        <v>0</v>
      </c>
      <c r="G480" s="13">
        <v>1</v>
      </c>
      <c r="H480" s="13">
        <v>0</v>
      </c>
      <c r="I480" s="13">
        <v>1</v>
      </c>
      <c r="J480" s="13">
        <v>0</v>
      </c>
      <c r="K480" s="55"/>
      <c r="L480" s="32"/>
      <c r="M480" s="145" t="str">
        <f t="shared" si="12"/>
        <v/>
      </c>
    </row>
    <row r="481" spans="2:13" x14ac:dyDescent="0.35">
      <c r="B481" s="10" t="s">
        <v>216</v>
      </c>
      <c r="C481" s="13" t="s">
        <v>31</v>
      </c>
      <c r="D481" s="30">
        <v>42860</v>
      </c>
      <c r="E481" s="13">
        <v>0</v>
      </c>
      <c r="F481" s="13">
        <v>0</v>
      </c>
      <c r="G481" s="13">
        <v>1</v>
      </c>
      <c r="H481" s="13">
        <v>0</v>
      </c>
      <c r="I481" s="13">
        <v>1</v>
      </c>
      <c r="J481" s="13">
        <v>0</v>
      </c>
      <c r="K481" s="55"/>
      <c r="L481" s="32"/>
      <c r="M481" s="145" t="str">
        <f t="shared" si="12"/>
        <v/>
      </c>
    </row>
    <row r="482" spans="2:13" x14ac:dyDescent="0.35">
      <c r="B482" s="10" t="s">
        <v>743</v>
      </c>
      <c r="C482" s="13" t="s">
        <v>31</v>
      </c>
      <c r="D482" s="30">
        <v>42856</v>
      </c>
      <c r="E482" s="13">
        <v>0</v>
      </c>
      <c r="F482" s="13">
        <v>0</v>
      </c>
      <c r="G482" s="13">
        <v>1</v>
      </c>
      <c r="H482" s="13">
        <v>0</v>
      </c>
      <c r="I482" s="13">
        <v>1</v>
      </c>
      <c r="J482" s="13">
        <v>0</v>
      </c>
      <c r="K482" s="55"/>
      <c r="L482" s="32"/>
      <c r="M482" s="145" t="str">
        <f t="shared" si="12"/>
        <v/>
      </c>
    </row>
    <row r="483" spans="2:13" x14ac:dyDescent="0.35">
      <c r="B483" s="10" t="s">
        <v>463</v>
      </c>
      <c r="C483" s="13" t="s">
        <v>31</v>
      </c>
      <c r="D483" s="30">
        <v>42885</v>
      </c>
      <c r="E483" s="13">
        <v>0</v>
      </c>
      <c r="F483" s="13">
        <v>0</v>
      </c>
      <c r="G483" s="13">
        <v>1</v>
      </c>
      <c r="H483" s="13">
        <v>0</v>
      </c>
      <c r="I483" s="13">
        <v>1</v>
      </c>
      <c r="J483" s="13">
        <v>0</v>
      </c>
      <c r="K483" s="55"/>
      <c r="L483" s="32"/>
      <c r="M483" s="145" t="str">
        <f t="shared" si="12"/>
        <v/>
      </c>
    </row>
    <row r="484" spans="2:13" x14ac:dyDescent="0.35">
      <c r="B484" s="10" t="s">
        <v>527</v>
      </c>
      <c r="C484" s="13" t="s">
        <v>20</v>
      </c>
      <c r="D484" s="30">
        <v>42898</v>
      </c>
      <c r="E484" s="13">
        <v>0</v>
      </c>
      <c r="F484" s="13">
        <v>0</v>
      </c>
      <c r="G484" s="13">
        <v>1</v>
      </c>
      <c r="H484" s="13">
        <v>0</v>
      </c>
      <c r="I484" s="13">
        <v>1</v>
      </c>
      <c r="J484" s="13">
        <v>0</v>
      </c>
      <c r="K484" s="55"/>
      <c r="L484" s="32"/>
      <c r="M484" s="145" t="str">
        <f t="shared" si="12"/>
        <v/>
      </c>
    </row>
    <row r="485" spans="2:13" x14ac:dyDescent="0.35">
      <c r="B485" s="10" t="s">
        <v>267</v>
      </c>
      <c r="C485" s="13" t="s">
        <v>31</v>
      </c>
      <c r="D485" s="30">
        <v>42834</v>
      </c>
      <c r="E485" s="13">
        <v>0</v>
      </c>
      <c r="F485" s="13">
        <v>0</v>
      </c>
      <c r="G485" s="13">
        <v>1</v>
      </c>
      <c r="H485" s="13">
        <v>0</v>
      </c>
      <c r="I485" s="13">
        <v>1</v>
      </c>
      <c r="J485" s="13">
        <v>0</v>
      </c>
      <c r="K485" s="55"/>
      <c r="L485" s="32"/>
      <c r="M485" s="145" t="str">
        <f t="shared" si="12"/>
        <v/>
      </c>
    </row>
    <row r="486" spans="2:13" x14ac:dyDescent="0.35">
      <c r="B486" s="10" t="s">
        <v>112</v>
      </c>
      <c r="C486" s="13" t="s">
        <v>31</v>
      </c>
      <c r="D486" s="30">
        <v>42859</v>
      </c>
      <c r="E486" s="13">
        <v>0</v>
      </c>
      <c r="F486" s="13">
        <v>0</v>
      </c>
      <c r="G486" s="13">
        <v>1</v>
      </c>
      <c r="H486" s="13">
        <v>0</v>
      </c>
      <c r="I486" s="13">
        <v>1</v>
      </c>
      <c r="J486" s="13">
        <v>0</v>
      </c>
      <c r="K486" s="55"/>
      <c r="L486" s="32"/>
      <c r="M486" s="145" t="str">
        <f t="shared" si="12"/>
        <v/>
      </c>
    </row>
    <row r="487" spans="2:13" x14ac:dyDescent="0.35">
      <c r="B487" s="10" t="s">
        <v>195</v>
      </c>
      <c r="C487" s="13" t="s">
        <v>20</v>
      </c>
      <c r="D487" s="30">
        <v>42866</v>
      </c>
      <c r="E487" s="13">
        <v>0</v>
      </c>
      <c r="F487" s="13">
        <v>0</v>
      </c>
      <c r="G487" s="13">
        <v>1</v>
      </c>
      <c r="H487" s="13">
        <v>0</v>
      </c>
      <c r="I487" s="13">
        <v>1</v>
      </c>
      <c r="J487" s="13">
        <v>0</v>
      </c>
      <c r="K487" s="55"/>
      <c r="L487" s="32"/>
      <c r="M487" s="145" t="str">
        <f t="shared" si="12"/>
        <v/>
      </c>
    </row>
    <row r="488" spans="2:13" x14ac:dyDescent="0.35">
      <c r="B488" s="10" t="s">
        <v>357</v>
      </c>
      <c r="C488" s="13" t="s">
        <v>31</v>
      </c>
      <c r="D488" s="30">
        <v>42894</v>
      </c>
      <c r="E488" s="13">
        <v>0</v>
      </c>
      <c r="F488" s="13">
        <v>0</v>
      </c>
      <c r="G488" s="13">
        <v>1</v>
      </c>
      <c r="H488" s="13">
        <v>0</v>
      </c>
      <c r="I488" s="13">
        <v>1</v>
      </c>
      <c r="J488" s="13">
        <v>0</v>
      </c>
      <c r="K488" s="55"/>
      <c r="L488" s="32"/>
      <c r="M488" s="145" t="str">
        <f t="shared" si="12"/>
        <v/>
      </c>
    </row>
    <row r="489" spans="2:13" x14ac:dyDescent="0.35">
      <c r="B489" s="10" t="s">
        <v>336</v>
      </c>
      <c r="C489" s="13" t="s">
        <v>20</v>
      </c>
      <c r="D489" s="30">
        <v>42869</v>
      </c>
      <c r="E489" s="13">
        <v>0</v>
      </c>
      <c r="F489" s="13">
        <v>0</v>
      </c>
      <c r="G489" s="13">
        <v>1</v>
      </c>
      <c r="H489" s="13">
        <v>0</v>
      </c>
      <c r="I489" s="13">
        <v>1</v>
      </c>
      <c r="J489" s="13">
        <v>0</v>
      </c>
      <c r="K489" s="55"/>
      <c r="L489" s="32"/>
      <c r="M489" s="145" t="str">
        <f t="shared" si="12"/>
        <v/>
      </c>
    </row>
    <row r="490" spans="2:13" x14ac:dyDescent="0.35">
      <c r="B490" s="10" t="s">
        <v>115</v>
      </c>
      <c r="C490" s="13" t="s">
        <v>20</v>
      </c>
      <c r="D490" s="30">
        <v>42842</v>
      </c>
      <c r="E490" s="13">
        <v>0</v>
      </c>
      <c r="F490" s="13">
        <v>0</v>
      </c>
      <c r="G490" s="13">
        <v>1</v>
      </c>
      <c r="H490" s="13">
        <v>0</v>
      </c>
      <c r="I490" s="13">
        <v>1</v>
      </c>
      <c r="J490" s="13">
        <v>0</v>
      </c>
      <c r="K490" s="55"/>
      <c r="L490" s="32"/>
      <c r="M490" s="145" t="str">
        <f t="shared" si="12"/>
        <v/>
      </c>
    </row>
    <row r="491" spans="2:13" x14ac:dyDescent="0.35">
      <c r="B491" s="10" t="s">
        <v>671</v>
      </c>
      <c r="C491" s="13" t="s">
        <v>31</v>
      </c>
      <c r="D491" s="30">
        <v>42879</v>
      </c>
      <c r="E491" s="13">
        <v>0</v>
      </c>
      <c r="F491" s="13">
        <v>0</v>
      </c>
      <c r="G491" s="13">
        <v>1</v>
      </c>
      <c r="H491" s="13">
        <v>0</v>
      </c>
      <c r="I491" s="13">
        <v>1</v>
      </c>
      <c r="J491" s="13">
        <v>0</v>
      </c>
      <c r="K491" s="55"/>
      <c r="L491" s="32"/>
      <c r="M491" s="145" t="str">
        <f t="shared" si="12"/>
        <v/>
      </c>
    </row>
    <row r="492" spans="2:13" x14ac:dyDescent="0.35">
      <c r="B492" s="10" t="s">
        <v>160</v>
      </c>
      <c r="C492" s="13" t="s">
        <v>31</v>
      </c>
      <c r="D492" s="30">
        <v>42886</v>
      </c>
      <c r="E492" s="13">
        <v>0</v>
      </c>
      <c r="F492" s="13">
        <v>0</v>
      </c>
      <c r="G492" s="13">
        <v>1</v>
      </c>
      <c r="H492" s="13">
        <v>0</v>
      </c>
      <c r="I492" s="13">
        <v>1</v>
      </c>
      <c r="J492" s="13">
        <v>0</v>
      </c>
      <c r="K492" s="55"/>
      <c r="L492" s="32"/>
      <c r="M492" s="145" t="str">
        <f t="shared" si="12"/>
        <v/>
      </c>
    </row>
    <row r="493" spans="2:13" x14ac:dyDescent="0.35">
      <c r="B493" s="10" t="s">
        <v>771</v>
      </c>
      <c r="C493" s="13" t="s">
        <v>20</v>
      </c>
      <c r="D493" s="30">
        <v>42860</v>
      </c>
      <c r="E493" s="13">
        <v>0</v>
      </c>
      <c r="F493" s="13">
        <v>0</v>
      </c>
      <c r="G493" s="13">
        <v>1</v>
      </c>
      <c r="H493" s="13">
        <v>0</v>
      </c>
      <c r="I493" s="13">
        <v>1</v>
      </c>
      <c r="J493" s="13">
        <v>0</v>
      </c>
      <c r="K493" s="55"/>
      <c r="L493" s="32"/>
      <c r="M493" s="145" t="str">
        <f t="shared" si="12"/>
        <v/>
      </c>
    </row>
    <row r="494" spans="2:13" x14ac:dyDescent="0.35">
      <c r="B494" s="10" t="s">
        <v>738</v>
      </c>
      <c r="C494" s="13" t="s">
        <v>31</v>
      </c>
      <c r="D494" s="30">
        <v>42900</v>
      </c>
      <c r="E494" s="13">
        <v>0</v>
      </c>
      <c r="F494" s="13">
        <v>0</v>
      </c>
      <c r="G494" s="13">
        <v>1</v>
      </c>
      <c r="H494" s="13">
        <v>0</v>
      </c>
      <c r="I494" s="13">
        <v>1</v>
      </c>
      <c r="J494" s="13">
        <v>0</v>
      </c>
      <c r="K494" s="55"/>
      <c r="L494" s="32"/>
      <c r="M494" s="145" t="str">
        <f t="shared" si="12"/>
        <v/>
      </c>
    </row>
    <row r="495" spans="2:13" x14ac:dyDescent="0.35">
      <c r="B495" s="10" t="s">
        <v>61</v>
      </c>
      <c r="C495" s="13" t="s">
        <v>20</v>
      </c>
      <c r="D495" s="30">
        <v>42844</v>
      </c>
      <c r="E495" s="13">
        <v>0</v>
      </c>
      <c r="F495" s="13">
        <v>0</v>
      </c>
      <c r="G495" s="13">
        <v>1</v>
      </c>
      <c r="H495" s="13">
        <v>0</v>
      </c>
      <c r="I495" s="13">
        <v>1</v>
      </c>
      <c r="J495" s="13">
        <v>0</v>
      </c>
      <c r="K495" s="55"/>
      <c r="L495" s="32"/>
      <c r="M495" s="145" t="str">
        <f t="shared" si="12"/>
        <v/>
      </c>
    </row>
    <row r="496" spans="2:13" x14ac:dyDescent="0.35">
      <c r="B496" s="10" t="s">
        <v>541</v>
      </c>
      <c r="C496" s="13" t="s">
        <v>31</v>
      </c>
      <c r="D496" s="30">
        <v>42834</v>
      </c>
      <c r="E496" s="13">
        <v>0</v>
      </c>
      <c r="F496" s="13">
        <v>0</v>
      </c>
      <c r="G496" s="13">
        <v>1</v>
      </c>
      <c r="H496" s="13">
        <v>0</v>
      </c>
      <c r="I496" s="13">
        <v>1</v>
      </c>
      <c r="J496" s="13">
        <v>0</v>
      </c>
      <c r="K496" s="55"/>
      <c r="L496" s="32"/>
      <c r="M496" s="145" t="str">
        <f t="shared" si="12"/>
        <v/>
      </c>
    </row>
    <row r="497" spans="2:13" x14ac:dyDescent="0.35">
      <c r="B497" s="10" t="s">
        <v>135</v>
      </c>
      <c r="C497" s="13" t="s">
        <v>20</v>
      </c>
      <c r="D497" s="30">
        <v>42866</v>
      </c>
      <c r="E497" s="13">
        <v>0</v>
      </c>
      <c r="F497" s="13">
        <v>0</v>
      </c>
      <c r="G497" s="13">
        <v>1</v>
      </c>
      <c r="H497" s="13">
        <v>0</v>
      </c>
      <c r="I497" s="13">
        <v>1</v>
      </c>
      <c r="J497" s="13">
        <v>0</v>
      </c>
      <c r="K497" s="55"/>
      <c r="L497" s="32"/>
      <c r="M497" s="145" t="str">
        <f t="shared" si="12"/>
        <v/>
      </c>
    </row>
    <row r="498" spans="2:13" x14ac:dyDescent="0.35">
      <c r="B498" s="10" t="s">
        <v>594</v>
      </c>
      <c r="C498" s="13" t="s">
        <v>20</v>
      </c>
      <c r="D498" s="30">
        <v>42852</v>
      </c>
      <c r="E498" s="13">
        <v>0</v>
      </c>
      <c r="F498" s="13">
        <v>0</v>
      </c>
      <c r="G498" s="13">
        <v>1</v>
      </c>
      <c r="H498" s="13">
        <v>0</v>
      </c>
      <c r="I498" s="13">
        <v>1</v>
      </c>
      <c r="J498" s="13">
        <v>0</v>
      </c>
      <c r="K498" s="55"/>
      <c r="L498" s="32"/>
      <c r="M498" s="145" t="str">
        <f t="shared" si="12"/>
        <v/>
      </c>
    </row>
    <row r="499" spans="2:13" x14ac:dyDescent="0.35">
      <c r="B499" s="10" t="s">
        <v>742</v>
      </c>
      <c r="C499" s="13" t="s">
        <v>31</v>
      </c>
      <c r="D499" s="30">
        <v>42867</v>
      </c>
      <c r="E499" s="13">
        <v>0</v>
      </c>
      <c r="F499" s="13">
        <v>0</v>
      </c>
      <c r="G499" s="13">
        <v>1</v>
      </c>
      <c r="H499" s="13">
        <v>0</v>
      </c>
      <c r="I499" s="13">
        <v>1</v>
      </c>
      <c r="J499" s="13">
        <v>0</v>
      </c>
      <c r="K499" s="55"/>
      <c r="L499" s="32"/>
      <c r="M499" s="145" t="str">
        <f t="shared" si="12"/>
        <v/>
      </c>
    </row>
    <row r="500" spans="2:13" x14ac:dyDescent="0.35">
      <c r="B500" s="10" t="s">
        <v>354</v>
      </c>
      <c r="C500" s="13" t="s">
        <v>31</v>
      </c>
      <c r="D500" s="30">
        <v>42878</v>
      </c>
      <c r="E500" s="13">
        <v>0</v>
      </c>
      <c r="F500" s="13">
        <v>0</v>
      </c>
      <c r="G500" s="13">
        <v>1</v>
      </c>
      <c r="H500" s="13">
        <v>0</v>
      </c>
      <c r="I500" s="13">
        <v>1</v>
      </c>
      <c r="J500" s="13">
        <v>0</v>
      </c>
      <c r="K500" s="55"/>
      <c r="L500" s="32"/>
      <c r="M500" s="145" t="str">
        <f t="shared" si="12"/>
        <v/>
      </c>
    </row>
    <row r="501" spans="2:13" x14ac:dyDescent="0.35">
      <c r="B501" s="10" t="s">
        <v>492</v>
      </c>
      <c r="C501" s="13" t="s">
        <v>20</v>
      </c>
      <c r="D501" s="30">
        <v>42860</v>
      </c>
      <c r="E501" s="13">
        <v>0</v>
      </c>
      <c r="F501" s="13">
        <v>0</v>
      </c>
      <c r="G501" s="13">
        <v>1</v>
      </c>
      <c r="H501" s="13">
        <v>0</v>
      </c>
      <c r="I501" s="13">
        <v>1</v>
      </c>
      <c r="J501" s="13">
        <v>0</v>
      </c>
      <c r="K501" s="55"/>
      <c r="L501" s="32"/>
      <c r="M501" s="145" t="str">
        <f t="shared" si="12"/>
        <v/>
      </c>
    </row>
    <row r="502" spans="2:13" x14ac:dyDescent="0.35">
      <c r="B502" s="10" t="s">
        <v>276</v>
      </c>
      <c r="C502" s="13" t="s">
        <v>20</v>
      </c>
      <c r="D502" s="30">
        <v>42883</v>
      </c>
      <c r="E502" s="13">
        <v>0</v>
      </c>
      <c r="F502" s="13">
        <v>0</v>
      </c>
      <c r="G502" s="13">
        <v>1</v>
      </c>
      <c r="H502" s="13">
        <v>0</v>
      </c>
      <c r="I502" s="13">
        <v>1</v>
      </c>
      <c r="J502" s="13">
        <v>0</v>
      </c>
      <c r="K502" s="55"/>
      <c r="L502" s="32"/>
      <c r="M502" s="145" t="str">
        <f t="shared" si="12"/>
        <v/>
      </c>
    </row>
    <row r="503" spans="2:13" x14ac:dyDescent="0.35">
      <c r="B503" s="10" t="s">
        <v>95</v>
      </c>
      <c r="C503" s="13" t="s">
        <v>31</v>
      </c>
      <c r="D503" s="30">
        <v>42835</v>
      </c>
      <c r="E503" s="13">
        <v>0</v>
      </c>
      <c r="F503" s="13">
        <v>0</v>
      </c>
      <c r="G503" s="13">
        <v>1</v>
      </c>
      <c r="H503" s="13">
        <v>0</v>
      </c>
      <c r="I503" s="13">
        <v>1</v>
      </c>
      <c r="J503" s="13">
        <v>0</v>
      </c>
      <c r="K503" s="55"/>
      <c r="L503" s="32"/>
      <c r="M503" s="145" t="str">
        <f t="shared" si="12"/>
        <v/>
      </c>
    </row>
    <row r="504" spans="2:13" x14ac:dyDescent="0.35">
      <c r="B504" s="10" t="s">
        <v>582</v>
      </c>
      <c r="C504" s="13" t="s">
        <v>20</v>
      </c>
      <c r="D504" s="30">
        <v>42864</v>
      </c>
      <c r="E504" s="13">
        <v>0</v>
      </c>
      <c r="F504" s="13">
        <v>0</v>
      </c>
      <c r="G504" s="13">
        <v>1</v>
      </c>
      <c r="H504" s="13">
        <v>0</v>
      </c>
      <c r="I504" s="13">
        <v>1</v>
      </c>
      <c r="J504" s="13">
        <v>0</v>
      </c>
      <c r="K504" s="55"/>
      <c r="L504" s="32"/>
      <c r="M504" s="145" t="str">
        <f t="shared" si="12"/>
        <v/>
      </c>
    </row>
    <row r="505" spans="2:13" x14ac:dyDescent="0.35">
      <c r="B505" s="10" t="s">
        <v>979</v>
      </c>
      <c r="C505" s="13" t="s">
        <v>20</v>
      </c>
      <c r="D505" s="30">
        <v>42858</v>
      </c>
      <c r="E505" s="13">
        <v>0</v>
      </c>
      <c r="F505" s="13">
        <v>0</v>
      </c>
      <c r="G505" s="13">
        <v>1</v>
      </c>
      <c r="H505" s="13">
        <v>0</v>
      </c>
      <c r="I505" s="13">
        <v>1</v>
      </c>
      <c r="J505" s="13">
        <v>0</v>
      </c>
      <c r="K505" s="55"/>
      <c r="L505" s="32"/>
      <c r="M505" s="145" t="str">
        <f t="shared" si="12"/>
        <v/>
      </c>
    </row>
    <row r="506" spans="2:13" x14ac:dyDescent="0.35">
      <c r="B506" s="10" t="s">
        <v>653</v>
      </c>
      <c r="C506" s="13" t="s">
        <v>20</v>
      </c>
      <c r="D506" s="30">
        <v>42902</v>
      </c>
      <c r="E506" s="13">
        <v>0</v>
      </c>
      <c r="F506" s="13">
        <v>0</v>
      </c>
      <c r="G506" s="13">
        <v>1</v>
      </c>
      <c r="H506" s="13">
        <v>0</v>
      </c>
      <c r="I506" s="13">
        <v>1</v>
      </c>
      <c r="J506" s="13">
        <v>0</v>
      </c>
      <c r="K506" s="55"/>
      <c r="L506" s="32"/>
      <c r="M506" s="145" t="str">
        <f t="shared" si="12"/>
        <v/>
      </c>
    </row>
    <row r="507" spans="2:13" x14ac:dyDescent="0.35">
      <c r="B507" s="10" t="s">
        <v>468</v>
      </c>
      <c r="C507" s="13" t="s">
        <v>31</v>
      </c>
      <c r="D507" s="30">
        <v>42873</v>
      </c>
      <c r="E507" s="13">
        <v>0</v>
      </c>
      <c r="F507" s="13">
        <v>0</v>
      </c>
      <c r="G507" s="13">
        <v>1</v>
      </c>
      <c r="H507" s="13">
        <v>0</v>
      </c>
      <c r="I507" s="13">
        <v>1</v>
      </c>
      <c r="J507" s="13">
        <v>0</v>
      </c>
      <c r="K507" s="55"/>
      <c r="L507" s="32"/>
      <c r="M507" s="145" t="str">
        <f t="shared" si="12"/>
        <v/>
      </c>
    </row>
    <row r="508" spans="2:13" x14ac:dyDescent="0.35">
      <c r="B508" s="10" t="s">
        <v>548</v>
      </c>
      <c r="C508" s="13" t="s">
        <v>20</v>
      </c>
      <c r="D508" s="30">
        <v>42833</v>
      </c>
      <c r="E508" s="13">
        <v>0</v>
      </c>
      <c r="F508" s="13">
        <v>0</v>
      </c>
      <c r="G508" s="13">
        <v>1</v>
      </c>
      <c r="H508" s="13">
        <v>0</v>
      </c>
      <c r="I508" s="13">
        <v>1</v>
      </c>
      <c r="J508" s="13">
        <v>0</v>
      </c>
      <c r="K508" s="55"/>
      <c r="L508" s="32"/>
      <c r="M508" s="145" t="str">
        <f t="shared" si="12"/>
        <v/>
      </c>
    </row>
    <row r="509" spans="2:13" x14ac:dyDescent="0.35">
      <c r="B509" s="10" t="s">
        <v>361</v>
      </c>
      <c r="C509" s="13" t="s">
        <v>31</v>
      </c>
      <c r="D509" s="30">
        <v>42844</v>
      </c>
      <c r="E509" s="13">
        <v>0</v>
      </c>
      <c r="F509" s="13">
        <v>0</v>
      </c>
      <c r="G509" s="13">
        <v>1</v>
      </c>
      <c r="H509" s="13">
        <v>0</v>
      </c>
      <c r="I509" s="13">
        <v>1</v>
      </c>
      <c r="J509" s="13">
        <v>0</v>
      </c>
      <c r="K509" s="55"/>
      <c r="L509" s="32"/>
      <c r="M509" s="145" t="str">
        <f t="shared" si="12"/>
        <v/>
      </c>
    </row>
    <row r="510" spans="2:13" x14ac:dyDescent="0.35">
      <c r="B510" s="10" t="s">
        <v>235</v>
      </c>
      <c r="C510" s="13" t="s">
        <v>20</v>
      </c>
      <c r="D510" s="30">
        <v>42908</v>
      </c>
      <c r="E510" s="13">
        <v>0</v>
      </c>
      <c r="F510" s="13">
        <v>0</v>
      </c>
      <c r="G510" s="13">
        <v>1</v>
      </c>
      <c r="H510" s="13">
        <v>0</v>
      </c>
      <c r="I510" s="13">
        <v>1</v>
      </c>
      <c r="J510" s="13">
        <v>0</v>
      </c>
      <c r="K510" s="55"/>
      <c r="L510" s="32"/>
      <c r="M510" s="145" t="str">
        <f t="shared" si="12"/>
        <v/>
      </c>
    </row>
    <row r="511" spans="2:13" x14ac:dyDescent="0.35">
      <c r="B511" s="10" t="s">
        <v>616</v>
      </c>
      <c r="C511" s="13" t="s">
        <v>31</v>
      </c>
      <c r="D511" s="30">
        <v>42867</v>
      </c>
      <c r="E511" s="13">
        <v>0</v>
      </c>
      <c r="F511" s="13">
        <v>0</v>
      </c>
      <c r="G511" s="13">
        <v>1</v>
      </c>
      <c r="H511" s="13">
        <v>0</v>
      </c>
      <c r="I511" s="13">
        <v>1</v>
      </c>
      <c r="J511" s="13">
        <v>0</v>
      </c>
      <c r="K511" s="55"/>
      <c r="L511" s="32"/>
      <c r="M511" s="145" t="str">
        <f t="shared" si="12"/>
        <v/>
      </c>
    </row>
    <row r="512" spans="2:13" x14ac:dyDescent="0.35">
      <c r="B512" s="10" t="s">
        <v>709</v>
      </c>
      <c r="C512" s="13" t="s">
        <v>31</v>
      </c>
      <c r="D512" s="30">
        <v>42835</v>
      </c>
      <c r="E512" s="13">
        <v>0</v>
      </c>
      <c r="F512" s="13">
        <v>0</v>
      </c>
      <c r="G512" s="13">
        <v>1</v>
      </c>
      <c r="H512" s="13">
        <v>0</v>
      </c>
      <c r="I512" s="13">
        <v>1</v>
      </c>
      <c r="J512" s="13">
        <v>0</v>
      </c>
      <c r="K512" s="55"/>
      <c r="L512" s="32"/>
      <c r="M512" s="145" t="str">
        <f t="shared" si="12"/>
        <v/>
      </c>
    </row>
    <row r="513" spans="2:13" x14ac:dyDescent="0.35">
      <c r="B513" s="10" t="s">
        <v>559</v>
      </c>
      <c r="C513" s="13" t="s">
        <v>31</v>
      </c>
      <c r="D513" s="30">
        <v>42855</v>
      </c>
      <c r="E513" s="13">
        <v>0</v>
      </c>
      <c r="F513" s="13">
        <v>0</v>
      </c>
      <c r="G513" s="13">
        <v>1</v>
      </c>
      <c r="H513" s="13">
        <v>0</v>
      </c>
      <c r="I513" s="13">
        <v>1</v>
      </c>
      <c r="J513" s="13">
        <v>0</v>
      </c>
      <c r="K513" s="55"/>
      <c r="L513" s="32"/>
      <c r="M513" s="145" t="str">
        <f t="shared" si="12"/>
        <v/>
      </c>
    </row>
    <row r="514" spans="2:13" x14ac:dyDescent="0.35">
      <c r="B514" s="10" t="s">
        <v>647</v>
      </c>
      <c r="C514" s="13" t="s">
        <v>20</v>
      </c>
      <c r="D514" s="30">
        <v>42893</v>
      </c>
      <c r="E514" s="13">
        <v>0</v>
      </c>
      <c r="F514" s="13">
        <v>0</v>
      </c>
      <c r="G514" s="13">
        <v>1</v>
      </c>
      <c r="H514" s="13">
        <v>0</v>
      </c>
      <c r="I514" s="13">
        <v>1</v>
      </c>
      <c r="J514" s="13">
        <v>0</v>
      </c>
      <c r="K514" s="55"/>
      <c r="L514" s="32"/>
      <c r="M514" s="145" t="str">
        <f t="shared" si="12"/>
        <v/>
      </c>
    </row>
    <row r="515" spans="2:13" x14ac:dyDescent="0.35">
      <c r="B515" s="10" t="s">
        <v>77</v>
      </c>
      <c r="C515" s="13" t="s">
        <v>20</v>
      </c>
      <c r="D515" s="30">
        <v>42909</v>
      </c>
      <c r="E515" s="13">
        <v>0</v>
      </c>
      <c r="F515" s="13">
        <v>0</v>
      </c>
      <c r="G515" s="13">
        <v>1</v>
      </c>
      <c r="H515" s="13">
        <v>0</v>
      </c>
      <c r="I515" s="13">
        <v>1</v>
      </c>
      <c r="J515" s="13">
        <v>0</v>
      </c>
      <c r="K515" s="55"/>
      <c r="L515" s="32"/>
      <c r="M515" s="145" t="str">
        <f t="shared" si="12"/>
        <v/>
      </c>
    </row>
    <row r="516" spans="2:13" x14ac:dyDescent="0.35">
      <c r="B516" s="10" t="s">
        <v>209</v>
      </c>
      <c r="C516" s="13" t="s">
        <v>31</v>
      </c>
      <c r="D516" s="30">
        <v>42872</v>
      </c>
      <c r="E516" s="13">
        <v>0</v>
      </c>
      <c r="F516" s="13">
        <v>0</v>
      </c>
      <c r="G516" s="13">
        <v>1</v>
      </c>
      <c r="H516" s="13">
        <v>0</v>
      </c>
      <c r="I516" s="13">
        <v>1</v>
      </c>
      <c r="J516" s="13">
        <v>0</v>
      </c>
      <c r="K516" s="55"/>
      <c r="L516" s="32"/>
      <c r="M516" s="145" t="str">
        <f t="shared" si="12"/>
        <v/>
      </c>
    </row>
    <row r="517" spans="2:13" x14ac:dyDescent="0.35">
      <c r="B517" s="10" t="s">
        <v>221</v>
      </c>
      <c r="C517" s="13" t="s">
        <v>31</v>
      </c>
      <c r="D517" s="30">
        <v>42855</v>
      </c>
      <c r="E517" s="13">
        <v>0</v>
      </c>
      <c r="F517" s="13">
        <v>0</v>
      </c>
      <c r="G517" s="13">
        <v>1</v>
      </c>
      <c r="H517" s="13">
        <v>0</v>
      </c>
      <c r="I517" s="13">
        <v>1</v>
      </c>
      <c r="J517" s="13">
        <v>0</v>
      </c>
      <c r="K517" s="55"/>
      <c r="L517" s="32"/>
      <c r="M517" s="145" t="str">
        <f t="shared" si="12"/>
        <v/>
      </c>
    </row>
    <row r="518" spans="2:13" x14ac:dyDescent="0.35">
      <c r="B518" s="10" t="s">
        <v>445</v>
      </c>
      <c r="C518" s="13" t="s">
        <v>20</v>
      </c>
      <c r="D518" s="30">
        <v>42850</v>
      </c>
      <c r="E518" s="13">
        <v>0</v>
      </c>
      <c r="F518" s="13">
        <v>0</v>
      </c>
      <c r="G518" s="13">
        <v>1</v>
      </c>
      <c r="H518" s="13">
        <v>0</v>
      </c>
      <c r="I518" s="13">
        <v>1</v>
      </c>
      <c r="J518" s="13">
        <v>0</v>
      </c>
      <c r="K518" s="55"/>
      <c r="L518" s="32"/>
      <c r="M518" s="145" t="str">
        <f t="shared" si="12"/>
        <v/>
      </c>
    </row>
    <row r="519" spans="2:13" x14ac:dyDescent="0.35">
      <c r="B519" s="10" t="s">
        <v>60</v>
      </c>
      <c r="C519" s="13" t="s">
        <v>20</v>
      </c>
      <c r="D519" s="30">
        <v>42856</v>
      </c>
      <c r="E519" s="13">
        <v>0</v>
      </c>
      <c r="F519" s="13">
        <v>0</v>
      </c>
      <c r="G519" s="13">
        <v>1</v>
      </c>
      <c r="H519" s="13">
        <v>0</v>
      </c>
      <c r="I519" s="13">
        <v>1</v>
      </c>
      <c r="J519" s="13">
        <v>0</v>
      </c>
      <c r="K519" s="55"/>
      <c r="L519" s="32"/>
      <c r="M519" s="145" t="str">
        <f t="shared" ref="M519:M582" si="13">IF(K519="", "", K519-D519)</f>
        <v/>
      </c>
    </row>
    <row r="520" spans="2:13" x14ac:dyDescent="0.35">
      <c r="B520" s="10" t="s">
        <v>64</v>
      </c>
      <c r="C520" s="13" t="s">
        <v>20</v>
      </c>
      <c r="D520" s="30">
        <v>42872</v>
      </c>
      <c r="E520" s="13">
        <v>0</v>
      </c>
      <c r="F520" s="13">
        <v>0</v>
      </c>
      <c r="G520" s="13">
        <v>1</v>
      </c>
      <c r="H520" s="13">
        <v>0</v>
      </c>
      <c r="I520" s="13">
        <v>1</v>
      </c>
      <c r="J520" s="13">
        <v>0</v>
      </c>
      <c r="K520" s="55"/>
      <c r="L520" s="32"/>
      <c r="M520" s="145" t="str">
        <f t="shared" si="13"/>
        <v/>
      </c>
    </row>
    <row r="521" spans="2:13" x14ac:dyDescent="0.35">
      <c r="B521" s="10" t="s">
        <v>591</v>
      </c>
      <c r="C521" s="13" t="s">
        <v>31</v>
      </c>
      <c r="D521" s="30">
        <v>42916</v>
      </c>
      <c r="E521" s="13">
        <v>0</v>
      </c>
      <c r="F521" s="13">
        <v>0</v>
      </c>
      <c r="G521" s="13">
        <v>1</v>
      </c>
      <c r="H521" s="13">
        <v>0</v>
      </c>
      <c r="I521" s="13">
        <v>1</v>
      </c>
      <c r="J521" s="13">
        <v>0</v>
      </c>
      <c r="K521" s="55"/>
      <c r="L521" s="32"/>
      <c r="M521" s="145" t="str">
        <f t="shared" si="13"/>
        <v/>
      </c>
    </row>
    <row r="522" spans="2:13" x14ac:dyDescent="0.35">
      <c r="B522" s="10" t="s">
        <v>775</v>
      </c>
      <c r="C522" s="13" t="s">
        <v>20</v>
      </c>
      <c r="D522" s="30">
        <v>42899</v>
      </c>
      <c r="E522" s="13">
        <v>0</v>
      </c>
      <c r="F522" s="13">
        <v>0</v>
      </c>
      <c r="G522" s="13">
        <v>1</v>
      </c>
      <c r="H522" s="13">
        <v>0</v>
      </c>
      <c r="I522" s="13">
        <v>1</v>
      </c>
      <c r="J522" s="13">
        <v>0</v>
      </c>
      <c r="K522" s="55"/>
      <c r="L522" s="32"/>
      <c r="M522" s="145" t="str">
        <f t="shared" si="13"/>
        <v/>
      </c>
    </row>
    <row r="523" spans="2:13" x14ac:dyDescent="0.35">
      <c r="B523" s="10" t="s">
        <v>448</v>
      </c>
      <c r="C523" s="13" t="s">
        <v>31</v>
      </c>
      <c r="D523" s="30">
        <v>42841</v>
      </c>
      <c r="E523" s="13">
        <v>0</v>
      </c>
      <c r="F523" s="13">
        <v>0</v>
      </c>
      <c r="G523" s="13">
        <v>1</v>
      </c>
      <c r="H523" s="13">
        <v>0</v>
      </c>
      <c r="I523" s="13">
        <v>1</v>
      </c>
      <c r="J523" s="13">
        <v>0</v>
      </c>
      <c r="K523" s="55"/>
      <c r="L523" s="32"/>
      <c r="M523" s="145" t="str">
        <f t="shared" si="13"/>
        <v/>
      </c>
    </row>
    <row r="524" spans="2:13" x14ac:dyDescent="0.35">
      <c r="B524" s="10" t="s">
        <v>569</v>
      </c>
      <c r="C524" s="13" t="s">
        <v>20</v>
      </c>
      <c r="D524" s="30">
        <v>42857</v>
      </c>
      <c r="E524" s="13">
        <v>0</v>
      </c>
      <c r="F524" s="13">
        <v>0</v>
      </c>
      <c r="G524" s="13">
        <v>1</v>
      </c>
      <c r="H524" s="13">
        <v>0</v>
      </c>
      <c r="I524" s="13">
        <v>1</v>
      </c>
      <c r="J524" s="13">
        <v>0</v>
      </c>
      <c r="K524" s="55"/>
      <c r="L524" s="32"/>
      <c r="M524" s="145" t="str">
        <f t="shared" si="13"/>
        <v/>
      </c>
    </row>
    <row r="525" spans="2:13" x14ac:dyDescent="0.35">
      <c r="B525" s="10" t="s">
        <v>127</v>
      </c>
      <c r="C525" s="13" t="s">
        <v>20</v>
      </c>
      <c r="D525" s="30">
        <v>42905</v>
      </c>
      <c r="E525" s="13">
        <v>0</v>
      </c>
      <c r="F525" s="13">
        <v>0</v>
      </c>
      <c r="G525" s="13">
        <v>1</v>
      </c>
      <c r="H525" s="13">
        <v>0</v>
      </c>
      <c r="I525" s="13">
        <v>1</v>
      </c>
      <c r="J525" s="13">
        <v>0</v>
      </c>
      <c r="K525" s="55"/>
      <c r="L525" s="32"/>
      <c r="M525" s="145" t="str">
        <f t="shared" si="13"/>
        <v/>
      </c>
    </row>
    <row r="526" spans="2:13" x14ac:dyDescent="0.35">
      <c r="B526" s="10" t="s">
        <v>198</v>
      </c>
      <c r="C526" s="13" t="s">
        <v>20</v>
      </c>
      <c r="D526" s="30">
        <v>42848</v>
      </c>
      <c r="E526" s="13">
        <v>0</v>
      </c>
      <c r="F526" s="13">
        <v>0</v>
      </c>
      <c r="G526" s="13">
        <v>1</v>
      </c>
      <c r="H526" s="13">
        <v>0</v>
      </c>
      <c r="I526" s="13">
        <v>1</v>
      </c>
      <c r="J526" s="13">
        <v>0</v>
      </c>
      <c r="K526" s="55"/>
      <c r="L526" s="32"/>
      <c r="M526" s="145" t="str">
        <f t="shared" si="13"/>
        <v/>
      </c>
    </row>
    <row r="527" spans="2:13" x14ac:dyDescent="0.35">
      <c r="B527" s="10" t="s">
        <v>176</v>
      </c>
      <c r="C527" s="13" t="s">
        <v>31</v>
      </c>
      <c r="D527" s="30">
        <v>42893</v>
      </c>
      <c r="E527" s="13">
        <v>0</v>
      </c>
      <c r="F527" s="13">
        <v>0</v>
      </c>
      <c r="G527" s="13">
        <v>1</v>
      </c>
      <c r="H527" s="13">
        <v>0</v>
      </c>
      <c r="I527" s="13">
        <v>1</v>
      </c>
      <c r="J527" s="13">
        <v>0</v>
      </c>
      <c r="K527" s="55"/>
      <c r="L527" s="32"/>
      <c r="M527" s="145" t="str">
        <f t="shared" si="13"/>
        <v/>
      </c>
    </row>
    <row r="528" spans="2:13" x14ac:dyDescent="0.35">
      <c r="B528" s="10" t="s">
        <v>211</v>
      </c>
      <c r="C528" s="13" t="s">
        <v>20</v>
      </c>
      <c r="D528" s="30">
        <v>42828</v>
      </c>
      <c r="E528" s="13">
        <v>0</v>
      </c>
      <c r="F528" s="13">
        <v>0</v>
      </c>
      <c r="G528" s="13">
        <v>1</v>
      </c>
      <c r="H528" s="13">
        <v>0</v>
      </c>
      <c r="I528" s="13">
        <v>1</v>
      </c>
      <c r="J528" s="13">
        <v>0</v>
      </c>
      <c r="K528" s="55"/>
      <c r="L528" s="32"/>
      <c r="M528" s="145" t="str">
        <f t="shared" si="13"/>
        <v/>
      </c>
    </row>
    <row r="529" spans="2:13" x14ac:dyDescent="0.35">
      <c r="B529" s="10" t="s">
        <v>550</v>
      </c>
      <c r="C529" s="13" t="s">
        <v>20</v>
      </c>
      <c r="D529" s="30">
        <v>42887</v>
      </c>
      <c r="E529" s="13">
        <v>0</v>
      </c>
      <c r="F529" s="13">
        <v>0</v>
      </c>
      <c r="G529" s="13">
        <v>1</v>
      </c>
      <c r="H529" s="13">
        <v>0</v>
      </c>
      <c r="I529" s="13">
        <v>1</v>
      </c>
      <c r="J529" s="13">
        <v>0</v>
      </c>
      <c r="K529" s="55"/>
      <c r="L529" s="32"/>
      <c r="M529" s="145" t="str">
        <f t="shared" si="13"/>
        <v/>
      </c>
    </row>
    <row r="530" spans="2:13" x14ac:dyDescent="0.35">
      <c r="B530" s="10" t="s">
        <v>86</v>
      </c>
      <c r="C530" s="13" t="s">
        <v>31</v>
      </c>
      <c r="D530" s="30">
        <v>42853</v>
      </c>
      <c r="E530" s="13">
        <v>0</v>
      </c>
      <c r="F530" s="13">
        <v>0</v>
      </c>
      <c r="G530" s="13">
        <v>1</v>
      </c>
      <c r="H530" s="13">
        <v>0</v>
      </c>
      <c r="I530" s="13">
        <v>1</v>
      </c>
      <c r="J530" s="13">
        <v>0</v>
      </c>
      <c r="K530" s="55"/>
      <c r="L530" s="32"/>
      <c r="M530" s="145" t="str">
        <f t="shared" si="13"/>
        <v/>
      </c>
    </row>
    <row r="531" spans="2:13" x14ac:dyDescent="0.35">
      <c r="B531" s="10" t="s">
        <v>232</v>
      </c>
      <c r="C531" s="13" t="s">
        <v>31</v>
      </c>
      <c r="D531" s="30">
        <v>42864</v>
      </c>
      <c r="E531" s="13">
        <v>0</v>
      </c>
      <c r="F531" s="13">
        <v>0</v>
      </c>
      <c r="G531" s="13">
        <v>1</v>
      </c>
      <c r="H531" s="13">
        <v>0</v>
      </c>
      <c r="I531" s="13">
        <v>1</v>
      </c>
      <c r="J531" s="13">
        <v>0</v>
      </c>
      <c r="K531" s="55"/>
      <c r="L531" s="32"/>
      <c r="M531" s="145" t="str">
        <f t="shared" si="13"/>
        <v/>
      </c>
    </row>
    <row r="532" spans="2:13" x14ac:dyDescent="0.35">
      <c r="B532" s="10" t="s">
        <v>691</v>
      </c>
      <c r="C532" s="13" t="s">
        <v>20</v>
      </c>
      <c r="D532" s="30">
        <v>42845</v>
      </c>
      <c r="E532" s="13">
        <v>0</v>
      </c>
      <c r="F532" s="13">
        <v>0</v>
      </c>
      <c r="G532" s="13">
        <v>1</v>
      </c>
      <c r="H532" s="13">
        <v>0</v>
      </c>
      <c r="I532" s="13">
        <v>1</v>
      </c>
      <c r="J532" s="13">
        <v>0</v>
      </c>
      <c r="K532" s="55"/>
      <c r="L532" s="32"/>
      <c r="M532" s="145" t="str">
        <f t="shared" si="13"/>
        <v/>
      </c>
    </row>
    <row r="533" spans="2:13" x14ac:dyDescent="0.35">
      <c r="B533" s="10" t="s">
        <v>399</v>
      </c>
      <c r="C533" s="13" t="s">
        <v>31</v>
      </c>
      <c r="D533" s="30">
        <v>42828</v>
      </c>
      <c r="E533" s="13">
        <v>0</v>
      </c>
      <c r="F533" s="13">
        <v>0</v>
      </c>
      <c r="G533" s="13">
        <v>1</v>
      </c>
      <c r="H533" s="13">
        <v>0</v>
      </c>
      <c r="I533" s="13">
        <v>1</v>
      </c>
      <c r="J533" s="13">
        <v>0</v>
      </c>
      <c r="K533" s="55"/>
      <c r="L533" s="32"/>
      <c r="M533" s="145" t="str">
        <f t="shared" si="13"/>
        <v/>
      </c>
    </row>
    <row r="534" spans="2:13" x14ac:dyDescent="0.35">
      <c r="B534" s="10" t="s">
        <v>245</v>
      </c>
      <c r="C534" s="13" t="s">
        <v>20</v>
      </c>
      <c r="D534" s="30">
        <v>42860</v>
      </c>
      <c r="E534" s="13">
        <v>0</v>
      </c>
      <c r="F534" s="13">
        <v>0</v>
      </c>
      <c r="G534" s="13">
        <v>1</v>
      </c>
      <c r="H534" s="13">
        <v>0</v>
      </c>
      <c r="I534" s="13">
        <v>1</v>
      </c>
      <c r="J534" s="13">
        <v>0</v>
      </c>
      <c r="K534" s="55"/>
      <c r="L534" s="32"/>
      <c r="M534" s="145" t="str">
        <f t="shared" si="13"/>
        <v/>
      </c>
    </row>
    <row r="535" spans="2:13" x14ac:dyDescent="0.35">
      <c r="B535" s="10" t="s">
        <v>673</v>
      </c>
      <c r="C535" s="13" t="s">
        <v>20</v>
      </c>
      <c r="D535" s="30">
        <v>42910</v>
      </c>
      <c r="E535" s="13">
        <v>0</v>
      </c>
      <c r="F535" s="13">
        <v>0</v>
      </c>
      <c r="G535" s="13">
        <v>1</v>
      </c>
      <c r="H535" s="13">
        <v>0</v>
      </c>
      <c r="I535" s="13">
        <v>1</v>
      </c>
      <c r="J535" s="13">
        <v>0</v>
      </c>
      <c r="K535" s="55"/>
      <c r="L535" s="32"/>
      <c r="M535" s="145" t="str">
        <f t="shared" si="13"/>
        <v/>
      </c>
    </row>
    <row r="536" spans="2:13" x14ac:dyDescent="0.35">
      <c r="B536" s="10" t="s">
        <v>238</v>
      </c>
      <c r="C536" s="13" t="s">
        <v>20</v>
      </c>
      <c r="D536" s="30">
        <v>42855</v>
      </c>
      <c r="E536" s="13">
        <v>0</v>
      </c>
      <c r="F536" s="13">
        <v>0</v>
      </c>
      <c r="G536" s="13">
        <v>1</v>
      </c>
      <c r="H536" s="13">
        <v>0</v>
      </c>
      <c r="I536" s="13">
        <v>1</v>
      </c>
      <c r="J536" s="13">
        <v>0</v>
      </c>
      <c r="K536" s="55"/>
      <c r="L536" s="32"/>
      <c r="M536" s="145" t="str">
        <f t="shared" si="13"/>
        <v/>
      </c>
    </row>
    <row r="537" spans="2:13" x14ac:dyDescent="0.35">
      <c r="B537" s="10" t="s">
        <v>309</v>
      </c>
      <c r="C537" s="13" t="s">
        <v>31</v>
      </c>
      <c r="D537" s="30">
        <v>42900</v>
      </c>
      <c r="E537" s="13">
        <v>0</v>
      </c>
      <c r="F537" s="13">
        <v>0</v>
      </c>
      <c r="G537" s="13">
        <v>1</v>
      </c>
      <c r="H537" s="13">
        <v>0</v>
      </c>
      <c r="I537" s="13">
        <v>1</v>
      </c>
      <c r="J537" s="13">
        <v>0</v>
      </c>
      <c r="K537" s="55"/>
      <c r="L537" s="32"/>
      <c r="M537" s="145" t="str">
        <f t="shared" si="13"/>
        <v/>
      </c>
    </row>
    <row r="538" spans="2:13" x14ac:dyDescent="0.35">
      <c r="B538" s="10" t="s">
        <v>632</v>
      </c>
      <c r="C538" s="13" t="s">
        <v>31</v>
      </c>
      <c r="D538" s="30">
        <v>42906</v>
      </c>
      <c r="E538" s="13">
        <v>0</v>
      </c>
      <c r="F538" s="13">
        <v>0</v>
      </c>
      <c r="G538" s="13">
        <v>1</v>
      </c>
      <c r="H538" s="13">
        <v>0</v>
      </c>
      <c r="I538" s="13">
        <v>1</v>
      </c>
      <c r="J538" s="13">
        <v>0</v>
      </c>
      <c r="K538" s="55"/>
      <c r="L538" s="32"/>
      <c r="M538" s="145" t="str">
        <f t="shared" si="13"/>
        <v/>
      </c>
    </row>
    <row r="539" spans="2:13" x14ac:dyDescent="0.35">
      <c r="B539" s="10" t="s">
        <v>512</v>
      </c>
      <c r="C539" s="13" t="s">
        <v>20</v>
      </c>
      <c r="D539" s="30">
        <v>42856</v>
      </c>
      <c r="E539" s="13">
        <v>0</v>
      </c>
      <c r="F539" s="13">
        <v>0</v>
      </c>
      <c r="G539" s="13">
        <v>1</v>
      </c>
      <c r="H539" s="13">
        <v>0</v>
      </c>
      <c r="I539" s="13">
        <v>1</v>
      </c>
      <c r="J539" s="13">
        <v>0</v>
      </c>
      <c r="K539" s="55"/>
      <c r="L539" s="32"/>
      <c r="M539" s="145" t="str">
        <f t="shared" si="13"/>
        <v/>
      </c>
    </row>
    <row r="540" spans="2:13" x14ac:dyDescent="0.35">
      <c r="B540" s="10" t="s">
        <v>568</v>
      </c>
      <c r="C540" s="13" t="s">
        <v>20</v>
      </c>
      <c r="D540" s="30">
        <v>42870</v>
      </c>
      <c r="E540" s="13">
        <v>0</v>
      </c>
      <c r="F540" s="13">
        <v>0</v>
      </c>
      <c r="G540" s="13">
        <v>1</v>
      </c>
      <c r="H540" s="13">
        <v>0</v>
      </c>
      <c r="I540" s="13">
        <v>1</v>
      </c>
      <c r="J540" s="13">
        <v>0</v>
      </c>
      <c r="K540" s="55"/>
      <c r="L540" s="32"/>
      <c r="M540" s="145" t="str">
        <f t="shared" si="13"/>
        <v/>
      </c>
    </row>
    <row r="541" spans="2:13" x14ac:dyDescent="0.35">
      <c r="B541" s="10" t="s">
        <v>368</v>
      </c>
      <c r="C541" s="13" t="s">
        <v>20</v>
      </c>
      <c r="D541" s="30">
        <v>42858</v>
      </c>
      <c r="E541" s="13">
        <v>0</v>
      </c>
      <c r="F541" s="13">
        <v>0</v>
      </c>
      <c r="G541" s="13">
        <v>1</v>
      </c>
      <c r="H541" s="13">
        <v>0</v>
      </c>
      <c r="I541" s="13">
        <v>1</v>
      </c>
      <c r="J541" s="13">
        <v>0</v>
      </c>
      <c r="K541" s="55"/>
      <c r="L541" s="32"/>
      <c r="M541" s="145" t="str">
        <f t="shared" si="13"/>
        <v/>
      </c>
    </row>
    <row r="542" spans="2:13" x14ac:dyDescent="0.35">
      <c r="B542" s="10" t="s">
        <v>171</v>
      </c>
      <c r="C542" s="13" t="s">
        <v>31</v>
      </c>
      <c r="D542" s="30">
        <v>42914</v>
      </c>
      <c r="E542" s="13">
        <v>0</v>
      </c>
      <c r="F542" s="13">
        <v>0</v>
      </c>
      <c r="G542" s="13">
        <v>1</v>
      </c>
      <c r="H542" s="13">
        <v>0</v>
      </c>
      <c r="I542" s="13">
        <v>1</v>
      </c>
      <c r="J542" s="13">
        <v>0</v>
      </c>
      <c r="K542" s="55"/>
      <c r="L542" s="32"/>
      <c r="M542" s="145" t="str">
        <f t="shared" si="13"/>
        <v/>
      </c>
    </row>
    <row r="543" spans="2:13" x14ac:dyDescent="0.35">
      <c r="B543" s="10" t="s">
        <v>486</v>
      </c>
      <c r="C543" s="13" t="s">
        <v>31</v>
      </c>
      <c r="D543" s="30">
        <v>42843</v>
      </c>
      <c r="E543" s="13">
        <v>0</v>
      </c>
      <c r="F543" s="13">
        <v>0</v>
      </c>
      <c r="G543" s="13">
        <v>1</v>
      </c>
      <c r="H543" s="13">
        <v>0</v>
      </c>
      <c r="I543" s="13">
        <v>1</v>
      </c>
      <c r="J543" s="13">
        <v>0</v>
      </c>
      <c r="K543" s="55"/>
      <c r="L543" s="32"/>
      <c r="M543" s="145" t="str">
        <f t="shared" si="13"/>
        <v/>
      </c>
    </row>
    <row r="544" spans="2:13" x14ac:dyDescent="0.35">
      <c r="B544" s="10" t="s">
        <v>740</v>
      </c>
      <c r="C544" s="13" t="s">
        <v>31</v>
      </c>
      <c r="D544" s="30">
        <v>42895</v>
      </c>
      <c r="E544" s="13">
        <v>0</v>
      </c>
      <c r="F544" s="13">
        <v>0</v>
      </c>
      <c r="G544" s="13">
        <v>1</v>
      </c>
      <c r="H544" s="13">
        <v>0</v>
      </c>
      <c r="I544" s="13">
        <v>1</v>
      </c>
      <c r="J544" s="13">
        <v>0</v>
      </c>
      <c r="K544" s="55"/>
      <c r="L544" s="32"/>
      <c r="M544" s="145" t="str">
        <f t="shared" si="13"/>
        <v/>
      </c>
    </row>
    <row r="545" spans="2:13" x14ac:dyDescent="0.35">
      <c r="B545" s="10" t="s">
        <v>223</v>
      </c>
      <c r="C545" s="13" t="s">
        <v>31</v>
      </c>
      <c r="D545" s="30">
        <v>42827</v>
      </c>
      <c r="E545" s="13">
        <v>0</v>
      </c>
      <c r="F545" s="13">
        <v>0</v>
      </c>
      <c r="G545" s="13">
        <v>1</v>
      </c>
      <c r="H545" s="13">
        <v>0</v>
      </c>
      <c r="I545" s="13">
        <v>1</v>
      </c>
      <c r="J545" s="13">
        <v>0</v>
      </c>
      <c r="K545" s="55"/>
      <c r="L545" s="32"/>
      <c r="M545" s="145" t="str">
        <f t="shared" si="13"/>
        <v/>
      </c>
    </row>
    <row r="546" spans="2:13" x14ac:dyDescent="0.35">
      <c r="B546" s="10" t="s">
        <v>385</v>
      </c>
      <c r="C546" s="13" t="s">
        <v>20</v>
      </c>
      <c r="D546" s="30">
        <v>42871</v>
      </c>
      <c r="E546" s="13">
        <v>0</v>
      </c>
      <c r="F546" s="13">
        <v>0</v>
      </c>
      <c r="G546" s="13">
        <v>1</v>
      </c>
      <c r="H546" s="13">
        <v>0</v>
      </c>
      <c r="I546" s="13">
        <v>1</v>
      </c>
      <c r="J546" s="13">
        <v>0</v>
      </c>
      <c r="K546" s="55"/>
      <c r="L546" s="32"/>
      <c r="M546" s="145" t="str">
        <f t="shared" si="13"/>
        <v/>
      </c>
    </row>
    <row r="547" spans="2:13" x14ac:dyDescent="0.35">
      <c r="B547" s="10" t="s">
        <v>407</v>
      </c>
      <c r="C547" s="13" t="s">
        <v>20</v>
      </c>
      <c r="D547" s="30">
        <v>42902</v>
      </c>
      <c r="E547" s="13">
        <v>0</v>
      </c>
      <c r="F547" s="13">
        <v>0</v>
      </c>
      <c r="G547" s="13">
        <v>1</v>
      </c>
      <c r="H547" s="13">
        <v>0</v>
      </c>
      <c r="I547" s="13">
        <v>1</v>
      </c>
      <c r="J547" s="13">
        <v>0</v>
      </c>
      <c r="K547" s="55"/>
      <c r="L547" s="32"/>
      <c r="M547" s="145" t="str">
        <f t="shared" si="13"/>
        <v/>
      </c>
    </row>
    <row r="548" spans="2:13" x14ac:dyDescent="0.35">
      <c r="B548" s="10" t="s">
        <v>726</v>
      </c>
      <c r="C548" s="13" t="s">
        <v>20</v>
      </c>
      <c r="D548" s="30">
        <v>42848</v>
      </c>
      <c r="E548" s="13">
        <v>0</v>
      </c>
      <c r="F548" s="13">
        <v>0</v>
      </c>
      <c r="G548" s="13">
        <v>1</v>
      </c>
      <c r="H548" s="13">
        <v>0</v>
      </c>
      <c r="I548" s="13">
        <v>1</v>
      </c>
      <c r="J548" s="13">
        <v>0</v>
      </c>
      <c r="K548" s="55"/>
      <c r="L548" s="32"/>
      <c r="M548" s="145" t="str">
        <f t="shared" si="13"/>
        <v/>
      </c>
    </row>
    <row r="549" spans="2:13" x14ac:dyDescent="0.35">
      <c r="B549" s="10" t="s">
        <v>603</v>
      </c>
      <c r="C549" s="13" t="s">
        <v>31</v>
      </c>
      <c r="D549" s="30">
        <v>42852</v>
      </c>
      <c r="E549" s="13">
        <v>0</v>
      </c>
      <c r="F549" s="13">
        <v>0</v>
      </c>
      <c r="G549" s="13">
        <v>1</v>
      </c>
      <c r="H549" s="13">
        <v>0</v>
      </c>
      <c r="I549" s="13">
        <v>1</v>
      </c>
      <c r="J549" s="13">
        <v>0</v>
      </c>
      <c r="K549" s="55"/>
      <c r="L549" s="32"/>
      <c r="M549" s="145" t="str">
        <f t="shared" si="13"/>
        <v/>
      </c>
    </row>
    <row r="550" spans="2:13" x14ac:dyDescent="0.35">
      <c r="B550" s="10" t="s">
        <v>327</v>
      </c>
      <c r="C550" s="13" t="s">
        <v>20</v>
      </c>
      <c r="D550" s="30">
        <v>42896</v>
      </c>
      <c r="E550" s="13">
        <v>0</v>
      </c>
      <c r="F550" s="13">
        <v>0</v>
      </c>
      <c r="G550" s="13">
        <v>1</v>
      </c>
      <c r="H550" s="13">
        <v>0</v>
      </c>
      <c r="I550" s="13">
        <v>1</v>
      </c>
      <c r="J550" s="13">
        <v>0</v>
      </c>
      <c r="K550" s="55"/>
      <c r="L550" s="32"/>
      <c r="M550" s="145" t="str">
        <f t="shared" si="13"/>
        <v/>
      </c>
    </row>
    <row r="551" spans="2:13" x14ac:dyDescent="0.35">
      <c r="B551" s="10" t="s">
        <v>270</v>
      </c>
      <c r="C551" s="13" t="s">
        <v>20</v>
      </c>
      <c r="D551" s="30">
        <v>42871</v>
      </c>
      <c r="E551" s="13">
        <v>0</v>
      </c>
      <c r="F551" s="13">
        <v>0</v>
      </c>
      <c r="G551" s="13">
        <v>1</v>
      </c>
      <c r="H551" s="13">
        <v>0</v>
      </c>
      <c r="I551" s="13">
        <v>1</v>
      </c>
      <c r="J551" s="13">
        <v>0</v>
      </c>
      <c r="K551" s="55"/>
      <c r="L551" s="32"/>
      <c r="M551" s="145" t="str">
        <f t="shared" si="13"/>
        <v/>
      </c>
    </row>
    <row r="552" spans="2:13" x14ac:dyDescent="0.35">
      <c r="B552" s="10" t="s">
        <v>544</v>
      </c>
      <c r="C552" s="13" t="s">
        <v>20</v>
      </c>
      <c r="D552" s="30">
        <v>42830</v>
      </c>
      <c r="E552" s="13">
        <v>0</v>
      </c>
      <c r="F552" s="13">
        <v>0</v>
      </c>
      <c r="G552" s="13">
        <v>1</v>
      </c>
      <c r="H552" s="13">
        <v>0</v>
      </c>
      <c r="I552" s="13">
        <v>1</v>
      </c>
      <c r="J552" s="13">
        <v>0</v>
      </c>
      <c r="K552" s="55"/>
      <c r="L552" s="32"/>
      <c r="M552" s="145" t="str">
        <f t="shared" si="13"/>
        <v/>
      </c>
    </row>
    <row r="553" spans="2:13" x14ac:dyDescent="0.35">
      <c r="B553" s="10" t="s">
        <v>310</v>
      </c>
      <c r="C553" s="13" t="s">
        <v>20</v>
      </c>
      <c r="D553" s="30">
        <v>42902</v>
      </c>
      <c r="E553" s="13">
        <v>0</v>
      </c>
      <c r="F553" s="13">
        <v>0</v>
      </c>
      <c r="G553" s="13">
        <v>1</v>
      </c>
      <c r="H553" s="13">
        <v>0</v>
      </c>
      <c r="I553" s="13">
        <v>1</v>
      </c>
      <c r="J553" s="13">
        <v>0</v>
      </c>
      <c r="K553" s="55"/>
      <c r="L553" s="32"/>
      <c r="M553" s="145" t="str">
        <f t="shared" si="13"/>
        <v/>
      </c>
    </row>
    <row r="554" spans="2:13" x14ac:dyDescent="0.35">
      <c r="B554" s="10" t="s">
        <v>355</v>
      </c>
      <c r="C554" s="13" t="s">
        <v>31</v>
      </c>
      <c r="D554" s="30">
        <v>42874</v>
      </c>
      <c r="E554" s="13">
        <v>0</v>
      </c>
      <c r="F554" s="13">
        <v>0</v>
      </c>
      <c r="G554" s="13">
        <v>1</v>
      </c>
      <c r="H554" s="13">
        <v>0</v>
      </c>
      <c r="I554" s="13">
        <v>1</v>
      </c>
      <c r="J554" s="13">
        <v>0</v>
      </c>
      <c r="K554" s="55"/>
      <c r="L554" s="32"/>
      <c r="M554" s="145" t="str">
        <f t="shared" si="13"/>
        <v/>
      </c>
    </row>
    <row r="555" spans="2:13" x14ac:dyDescent="0.35">
      <c r="B555" s="10" t="s">
        <v>583</v>
      </c>
      <c r="C555" s="13" t="s">
        <v>31</v>
      </c>
      <c r="D555" s="30">
        <v>42870</v>
      </c>
      <c r="E555" s="13">
        <v>0</v>
      </c>
      <c r="F555" s="13">
        <v>0</v>
      </c>
      <c r="G555" s="13">
        <v>1</v>
      </c>
      <c r="H555" s="13">
        <v>0</v>
      </c>
      <c r="I555" s="13">
        <v>1</v>
      </c>
      <c r="J555" s="13">
        <v>0</v>
      </c>
      <c r="K555" s="55"/>
      <c r="L555" s="32"/>
      <c r="M555" s="145" t="str">
        <f t="shared" si="13"/>
        <v/>
      </c>
    </row>
    <row r="556" spans="2:13" x14ac:dyDescent="0.35">
      <c r="B556" s="10" t="s">
        <v>124</v>
      </c>
      <c r="C556" s="13" t="s">
        <v>31</v>
      </c>
      <c r="D556" s="30">
        <v>42904</v>
      </c>
      <c r="E556" s="13">
        <v>0</v>
      </c>
      <c r="F556" s="13">
        <v>0</v>
      </c>
      <c r="G556" s="13">
        <v>1</v>
      </c>
      <c r="H556" s="13">
        <v>0</v>
      </c>
      <c r="I556" s="13">
        <v>1</v>
      </c>
      <c r="J556" s="13">
        <v>0</v>
      </c>
      <c r="K556" s="55"/>
      <c r="L556" s="32"/>
      <c r="M556" s="145" t="str">
        <f t="shared" si="13"/>
        <v/>
      </c>
    </row>
    <row r="557" spans="2:13" x14ac:dyDescent="0.35">
      <c r="B557" s="10" t="s">
        <v>552</v>
      </c>
      <c r="C557" s="13" t="s">
        <v>20</v>
      </c>
      <c r="D557" s="30">
        <v>42849</v>
      </c>
      <c r="E557" s="13">
        <v>0</v>
      </c>
      <c r="F557" s="13">
        <v>0</v>
      </c>
      <c r="G557" s="13">
        <v>1</v>
      </c>
      <c r="H557" s="13">
        <v>0</v>
      </c>
      <c r="I557" s="13">
        <v>1</v>
      </c>
      <c r="J557" s="13">
        <v>0</v>
      </c>
      <c r="K557" s="55"/>
      <c r="L557" s="32"/>
      <c r="M557" s="145" t="str">
        <f t="shared" si="13"/>
        <v/>
      </c>
    </row>
    <row r="558" spans="2:13" x14ac:dyDescent="0.35">
      <c r="B558" s="10" t="s">
        <v>509</v>
      </c>
      <c r="C558" s="13" t="s">
        <v>20</v>
      </c>
      <c r="D558" s="30">
        <v>42853</v>
      </c>
      <c r="E558" s="13">
        <v>0</v>
      </c>
      <c r="F558" s="13">
        <v>0</v>
      </c>
      <c r="G558" s="13">
        <v>1</v>
      </c>
      <c r="H558" s="13">
        <v>0</v>
      </c>
      <c r="I558" s="13">
        <v>1</v>
      </c>
      <c r="J558" s="13">
        <v>0</v>
      </c>
      <c r="K558" s="55"/>
      <c r="L558" s="32"/>
      <c r="M558" s="145" t="str">
        <f t="shared" si="13"/>
        <v/>
      </c>
    </row>
    <row r="559" spans="2:13" x14ac:dyDescent="0.35">
      <c r="B559" s="10" t="s">
        <v>177</v>
      </c>
      <c r="C559" s="13" t="s">
        <v>20</v>
      </c>
      <c r="D559" s="30">
        <v>42915</v>
      </c>
      <c r="E559" s="13">
        <v>0</v>
      </c>
      <c r="F559" s="13">
        <v>0</v>
      </c>
      <c r="G559" s="13">
        <v>1</v>
      </c>
      <c r="H559" s="13">
        <v>0</v>
      </c>
      <c r="I559" s="13">
        <v>1</v>
      </c>
      <c r="J559" s="13">
        <v>0</v>
      </c>
      <c r="K559" s="55"/>
      <c r="L559" s="32"/>
      <c r="M559" s="145" t="str">
        <f t="shared" si="13"/>
        <v/>
      </c>
    </row>
    <row r="560" spans="2:13" x14ac:dyDescent="0.35">
      <c r="B560" s="10" t="s">
        <v>252</v>
      </c>
      <c r="C560" s="13" t="s">
        <v>20</v>
      </c>
      <c r="D560" s="30">
        <v>42853</v>
      </c>
      <c r="E560" s="13">
        <v>0</v>
      </c>
      <c r="F560" s="13">
        <v>0</v>
      </c>
      <c r="G560" s="13">
        <v>1</v>
      </c>
      <c r="H560" s="13">
        <v>0</v>
      </c>
      <c r="I560" s="13">
        <v>1</v>
      </c>
      <c r="J560" s="13">
        <v>0</v>
      </c>
      <c r="K560" s="55"/>
      <c r="L560" s="32"/>
      <c r="M560" s="145" t="str">
        <f t="shared" si="13"/>
        <v/>
      </c>
    </row>
    <row r="561" spans="2:13" x14ac:dyDescent="0.35">
      <c r="B561" s="10" t="s">
        <v>732</v>
      </c>
      <c r="C561" s="13" t="s">
        <v>20</v>
      </c>
      <c r="D561" s="30">
        <v>42831</v>
      </c>
      <c r="E561" s="13">
        <v>0</v>
      </c>
      <c r="F561" s="13">
        <v>0</v>
      </c>
      <c r="G561" s="13">
        <v>1</v>
      </c>
      <c r="H561" s="13">
        <v>0</v>
      </c>
      <c r="I561" s="13">
        <v>1</v>
      </c>
      <c r="J561" s="13">
        <v>0</v>
      </c>
      <c r="K561" s="55"/>
      <c r="L561" s="32"/>
      <c r="M561" s="145" t="str">
        <f t="shared" si="13"/>
        <v/>
      </c>
    </row>
    <row r="562" spans="2:13" x14ac:dyDescent="0.35">
      <c r="B562" s="10" t="s">
        <v>362</v>
      </c>
      <c r="C562" s="13" t="s">
        <v>20</v>
      </c>
      <c r="D562" s="30">
        <v>42900</v>
      </c>
      <c r="E562" s="13">
        <v>0</v>
      </c>
      <c r="F562" s="13">
        <v>0</v>
      </c>
      <c r="G562" s="13">
        <v>1</v>
      </c>
      <c r="H562" s="13">
        <v>0</v>
      </c>
      <c r="I562" s="13">
        <v>1</v>
      </c>
      <c r="J562" s="13">
        <v>0</v>
      </c>
      <c r="K562" s="55"/>
      <c r="L562" s="32"/>
      <c r="M562" s="145" t="str">
        <f t="shared" si="13"/>
        <v/>
      </c>
    </row>
    <row r="563" spans="2:13" x14ac:dyDescent="0.35">
      <c r="B563" s="10" t="s">
        <v>421</v>
      </c>
      <c r="C563" s="13" t="s">
        <v>20</v>
      </c>
      <c r="D563" s="30">
        <v>42868</v>
      </c>
      <c r="E563" s="13">
        <v>0</v>
      </c>
      <c r="F563" s="13">
        <v>0</v>
      </c>
      <c r="G563" s="13">
        <v>1</v>
      </c>
      <c r="H563" s="13">
        <v>0</v>
      </c>
      <c r="I563" s="13">
        <v>1</v>
      </c>
      <c r="J563" s="13">
        <v>0</v>
      </c>
      <c r="K563" s="55"/>
      <c r="L563" s="32"/>
      <c r="M563" s="145" t="str">
        <f t="shared" si="13"/>
        <v/>
      </c>
    </row>
    <row r="564" spans="2:13" x14ac:dyDescent="0.35">
      <c r="B564" s="10" t="s">
        <v>93</v>
      </c>
      <c r="C564" s="13" t="s">
        <v>31</v>
      </c>
      <c r="D564" s="30">
        <v>42882</v>
      </c>
      <c r="E564" s="13">
        <v>0</v>
      </c>
      <c r="F564" s="13">
        <v>0</v>
      </c>
      <c r="G564" s="13">
        <v>1</v>
      </c>
      <c r="H564" s="13">
        <v>0</v>
      </c>
      <c r="I564" s="13">
        <v>1</v>
      </c>
      <c r="J564" s="13">
        <v>0</v>
      </c>
      <c r="K564" s="55"/>
      <c r="L564" s="32"/>
      <c r="M564" s="145" t="str">
        <f t="shared" si="13"/>
        <v/>
      </c>
    </row>
    <row r="565" spans="2:13" x14ac:dyDescent="0.35">
      <c r="B565" s="10" t="s">
        <v>601</v>
      </c>
      <c r="C565" s="13" t="s">
        <v>20</v>
      </c>
      <c r="D565" s="30">
        <v>42857</v>
      </c>
      <c r="E565" s="13">
        <v>0</v>
      </c>
      <c r="F565" s="13">
        <v>0</v>
      </c>
      <c r="G565" s="13">
        <v>1</v>
      </c>
      <c r="H565" s="13">
        <v>0</v>
      </c>
      <c r="I565" s="13">
        <v>1</v>
      </c>
      <c r="J565" s="13">
        <v>0</v>
      </c>
      <c r="K565" s="55"/>
      <c r="L565" s="32"/>
      <c r="M565" s="145" t="str">
        <f t="shared" si="13"/>
        <v/>
      </c>
    </row>
    <row r="566" spans="2:13" x14ac:dyDescent="0.35">
      <c r="B566" s="10" t="s">
        <v>773</v>
      </c>
      <c r="C566" s="13" t="s">
        <v>31</v>
      </c>
      <c r="D566" s="30">
        <v>42873</v>
      </c>
      <c r="E566" s="13">
        <v>0</v>
      </c>
      <c r="F566" s="13">
        <v>0</v>
      </c>
      <c r="G566" s="13">
        <v>1</v>
      </c>
      <c r="H566" s="13">
        <v>0</v>
      </c>
      <c r="I566" s="13">
        <v>1</v>
      </c>
      <c r="J566" s="13">
        <v>0</v>
      </c>
      <c r="K566" s="55"/>
      <c r="L566" s="32"/>
      <c r="M566" s="145" t="str">
        <f t="shared" si="13"/>
        <v/>
      </c>
    </row>
    <row r="567" spans="2:13" x14ac:dyDescent="0.35">
      <c r="B567" s="10" t="s">
        <v>650</v>
      </c>
      <c r="C567" s="13" t="s">
        <v>20</v>
      </c>
      <c r="D567" s="30">
        <v>42827</v>
      </c>
      <c r="E567" s="13">
        <v>0</v>
      </c>
      <c r="F567" s="13">
        <v>0</v>
      </c>
      <c r="G567" s="13">
        <v>1</v>
      </c>
      <c r="H567" s="13">
        <v>0</v>
      </c>
      <c r="I567" s="13">
        <v>1</v>
      </c>
      <c r="J567" s="13">
        <v>0</v>
      </c>
      <c r="K567" s="55"/>
      <c r="L567" s="32"/>
      <c r="M567" s="145" t="str">
        <f t="shared" si="13"/>
        <v/>
      </c>
    </row>
    <row r="568" spans="2:13" x14ac:dyDescent="0.35">
      <c r="B568" s="10" t="s">
        <v>744</v>
      </c>
      <c r="C568" s="13" t="s">
        <v>31</v>
      </c>
      <c r="D568" s="30">
        <v>42857</v>
      </c>
      <c r="E568" s="13">
        <v>0</v>
      </c>
      <c r="F568" s="13">
        <v>0</v>
      </c>
      <c r="G568" s="13">
        <v>1</v>
      </c>
      <c r="H568" s="13">
        <v>0</v>
      </c>
      <c r="I568" s="13">
        <v>1</v>
      </c>
      <c r="J568" s="13">
        <v>0</v>
      </c>
      <c r="K568" s="55"/>
      <c r="L568" s="32"/>
      <c r="M568" s="145" t="str">
        <f t="shared" si="13"/>
        <v/>
      </c>
    </row>
    <row r="569" spans="2:13" x14ac:dyDescent="0.35">
      <c r="B569" s="10" t="s">
        <v>566</v>
      </c>
      <c r="C569" s="13" t="s">
        <v>31</v>
      </c>
      <c r="D569" s="30">
        <v>42855</v>
      </c>
      <c r="E569" s="13">
        <v>0</v>
      </c>
      <c r="F569" s="13">
        <v>0</v>
      </c>
      <c r="G569" s="13">
        <v>1</v>
      </c>
      <c r="H569" s="13">
        <v>0</v>
      </c>
      <c r="I569" s="13">
        <v>1</v>
      </c>
      <c r="J569" s="13">
        <v>0</v>
      </c>
      <c r="K569" s="55"/>
      <c r="L569" s="32"/>
      <c r="M569" s="145" t="str">
        <f t="shared" si="13"/>
        <v/>
      </c>
    </row>
    <row r="570" spans="2:13" x14ac:dyDescent="0.35">
      <c r="B570" s="10" t="s">
        <v>660</v>
      </c>
      <c r="C570" s="13" t="s">
        <v>20</v>
      </c>
      <c r="D570" s="30">
        <v>42911</v>
      </c>
      <c r="E570" s="13">
        <v>0</v>
      </c>
      <c r="F570" s="13">
        <v>0</v>
      </c>
      <c r="G570" s="13">
        <v>1</v>
      </c>
      <c r="H570" s="13">
        <v>0</v>
      </c>
      <c r="I570" s="13">
        <v>1</v>
      </c>
      <c r="J570" s="13">
        <v>0</v>
      </c>
      <c r="K570" s="55"/>
      <c r="L570" s="32"/>
      <c r="M570" s="145" t="str">
        <f t="shared" si="13"/>
        <v/>
      </c>
    </row>
    <row r="571" spans="2:13" x14ac:dyDescent="0.35">
      <c r="B571" s="10" t="s">
        <v>663</v>
      </c>
      <c r="C571" s="13" t="s">
        <v>20</v>
      </c>
      <c r="D571" s="30">
        <v>42847</v>
      </c>
      <c r="E571" s="13">
        <v>0</v>
      </c>
      <c r="F571" s="13">
        <v>0</v>
      </c>
      <c r="G571" s="13">
        <v>1</v>
      </c>
      <c r="H571" s="13">
        <v>0</v>
      </c>
      <c r="I571" s="13">
        <v>1</v>
      </c>
      <c r="J571" s="13">
        <v>0</v>
      </c>
      <c r="K571" s="55"/>
      <c r="L571" s="32"/>
      <c r="M571" s="145" t="str">
        <f t="shared" si="13"/>
        <v/>
      </c>
    </row>
    <row r="572" spans="2:13" x14ac:dyDescent="0.35">
      <c r="B572" s="10" t="s">
        <v>476</v>
      </c>
      <c r="C572" s="13" t="s">
        <v>31</v>
      </c>
      <c r="D572" s="30">
        <v>42873</v>
      </c>
      <c r="E572" s="13">
        <v>0</v>
      </c>
      <c r="F572" s="13">
        <v>0</v>
      </c>
      <c r="G572" s="13">
        <v>1</v>
      </c>
      <c r="H572" s="13">
        <v>0</v>
      </c>
      <c r="I572" s="13">
        <v>1</v>
      </c>
      <c r="J572" s="13">
        <v>0</v>
      </c>
      <c r="K572" s="55"/>
      <c r="L572" s="32"/>
      <c r="M572" s="145" t="str">
        <f t="shared" si="13"/>
        <v/>
      </c>
    </row>
    <row r="573" spans="2:13" x14ac:dyDescent="0.35">
      <c r="B573" s="10" t="s">
        <v>214</v>
      </c>
      <c r="C573" s="13" t="s">
        <v>20</v>
      </c>
      <c r="D573" s="30">
        <v>42863</v>
      </c>
      <c r="E573" s="13">
        <v>0</v>
      </c>
      <c r="F573" s="13">
        <v>0</v>
      </c>
      <c r="G573" s="13">
        <v>1</v>
      </c>
      <c r="H573" s="13">
        <v>0</v>
      </c>
      <c r="I573" s="13">
        <v>1</v>
      </c>
      <c r="J573" s="13">
        <v>0</v>
      </c>
      <c r="K573" s="55"/>
      <c r="L573" s="32"/>
      <c r="M573" s="145" t="str">
        <f t="shared" si="13"/>
        <v/>
      </c>
    </row>
    <row r="574" spans="2:13" x14ac:dyDescent="0.35">
      <c r="B574" s="10" t="s">
        <v>571</v>
      </c>
      <c r="C574" s="13" t="s">
        <v>20</v>
      </c>
      <c r="D574" s="30">
        <v>42873</v>
      </c>
      <c r="E574" s="13">
        <v>0</v>
      </c>
      <c r="F574" s="13">
        <v>0</v>
      </c>
      <c r="G574" s="13">
        <v>1</v>
      </c>
      <c r="H574" s="13">
        <v>0</v>
      </c>
      <c r="I574" s="13">
        <v>1</v>
      </c>
      <c r="J574" s="13">
        <v>0</v>
      </c>
      <c r="K574" s="55"/>
      <c r="L574" s="32"/>
      <c r="M574" s="145" t="str">
        <f t="shared" si="13"/>
        <v/>
      </c>
    </row>
    <row r="575" spans="2:13" x14ac:dyDescent="0.35">
      <c r="B575" s="10" t="s">
        <v>343</v>
      </c>
      <c r="C575" s="13" t="s">
        <v>31</v>
      </c>
      <c r="D575" s="30">
        <v>42888</v>
      </c>
      <c r="E575" s="13">
        <v>0</v>
      </c>
      <c r="F575" s="13">
        <v>0</v>
      </c>
      <c r="G575" s="13">
        <v>1</v>
      </c>
      <c r="H575" s="13">
        <v>0</v>
      </c>
      <c r="I575" s="13">
        <v>1</v>
      </c>
      <c r="J575" s="13">
        <v>0</v>
      </c>
      <c r="K575" s="55"/>
      <c r="L575" s="32"/>
      <c r="M575" s="145" t="str">
        <f t="shared" si="13"/>
        <v/>
      </c>
    </row>
    <row r="576" spans="2:13" x14ac:dyDescent="0.35">
      <c r="B576" s="10" t="s">
        <v>723</v>
      </c>
      <c r="C576" s="13" t="s">
        <v>31</v>
      </c>
      <c r="D576" s="30">
        <v>42899</v>
      </c>
      <c r="E576" s="13">
        <v>0</v>
      </c>
      <c r="F576" s="13">
        <v>0</v>
      </c>
      <c r="G576" s="13">
        <v>1</v>
      </c>
      <c r="H576" s="13">
        <v>0</v>
      </c>
      <c r="I576" s="13">
        <v>1</v>
      </c>
      <c r="J576" s="13">
        <v>0</v>
      </c>
      <c r="K576" s="55"/>
      <c r="L576" s="32"/>
      <c r="M576" s="145" t="str">
        <f t="shared" si="13"/>
        <v/>
      </c>
    </row>
    <row r="577" spans="2:13" x14ac:dyDescent="0.35">
      <c r="B577" s="10" t="s">
        <v>662</v>
      </c>
      <c r="C577" s="13" t="s">
        <v>31</v>
      </c>
      <c r="D577" s="30">
        <v>42892</v>
      </c>
      <c r="E577" s="13">
        <v>0</v>
      </c>
      <c r="F577" s="13">
        <v>0</v>
      </c>
      <c r="G577" s="13">
        <v>1</v>
      </c>
      <c r="H577" s="13">
        <v>0</v>
      </c>
      <c r="I577" s="13">
        <v>1</v>
      </c>
      <c r="J577" s="13">
        <v>0</v>
      </c>
      <c r="K577" s="55"/>
      <c r="L577" s="32"/>
      <c r="M577" s="145" t="str">
        <f t="shared" si="13"/>
        <v/>
      </c>
    </row>
    <row r="578" spans="2:13" x14ac:dyDescent="0.35">
      <c r="B578" s="10" t="s">
        <v>194</v>
      </c>
      <c r="C578" s="13" t="s">
        <v>31</v>
      </c>
      <c r="D578" s="30">
        <v>42915</v>
      </c>
      <c r="E578" s="13">
        <v>0</v>
      </c>
      <c r="F578" s="13">
        <v>0</v>
      </c>
      <c r="G578" s="13">
        <v>1</v>
      </c>
      <c r="H578" s="13">
        <v>0</v>
      </c>
      <c r="I578" s="13">
        <v>1</v>
      </c>
      <c r="J578" s="13">
        <v>0</v>
      </c>
      <c r="K578" s="55"/>
      <c r="L578" s="32"/>
      <c r="M578" s="145" t="str">
        <f t="shared" si="13"/>
        <v/>
      </c>
    </row>
    <row r="579" spans="2:13" x14ac:dyDescent="0.35">
      <c r="B579" s="10" t="s">
        <v>234</v>
      </c>
      <c r="C579" s="13" t="s">
        <v>20</v>
      </c>
      <c r="D579" s="30">
        <v>42911</v>
      </c>
      <c r="E579" s="13">
        <v>0</v>
      </c>
      <c r="F579" s="13">
        <v>0</v>
      </c>
      <c r="G579" s="13">
        <v>1</v>
      </c>
      <c r="H579" s="13">
        <v>0</v>
      </c>
      <c r="I579" s="13">
        <v>1</v>
      </c>
      <c r="J579" s="13">
        <v>0</v>
      </c>
      <c r="K579" s="55"/>
      <c r="L579" s="32"/>
      <c r="M579" s="145" t="str">
        <f t="shared" si="13"/>
        <v/>
      </c>
    </row>
    <row r="580" spans="2:13" x14ac:dyDescent="0.35">
      <c r="B580" s="10" t="s">
        <v>275</v>
      </c>
      <c r="C580" s="13" t="s">
        <v>31</v>
      </c>
      <c r="D580" s="30">
        <v>42859</v>
      </c>
      <c r="E580" s="13">
        <v>0</v>
      </c>
      <c r="F580" s="13">
        <v>0</v>
      </c>
      <c r="G580" s="13">
        <v>1</v>
      </c>
      <c r="H580" s="13">
        <v>0</v>
      </c>
      <c r="I580" s="13">
        <v>1</v>
      </c>
      <c r="J580" s="13">
        <v>0</v>
      </c>
      <c r="K580" s="55"/>
      <c r="L580" s="32"/>
      <c r="M580" s="145" t="str">
        <f t="shared" si="13"/>
        <v/>
      </c>
    </row>
    <row r="581" spans="2:13" x14ac:dyDescent="0.35">
      <c r="B581" s="10" t="s">
        <v>596</v>
      </c>
      <c r="C581" s="13" t="s">
        <v>20</v>
      </c>
      <c r="D581" s="30">
        <v>42847</v>
      </c>
      <c r="E581" s="13">
        <v>0</v>
      </c>
      <c r="F581" s="13">
        <v>0</v>
      </c>
      <c r="G581" s="13">
        <v>1</v>
      </c>
      <c r="H581" s="13">
        <v>0</v>
      </c>
      <c r="I581" s="13">
        <v>1</v>
      </c>
      <c r="J581" s="13">
        <v>0</v>
      </c>
      <c r="K581" s="55"/>
      <c r="L581" s="32"/>
      <c r="M581" s="145" t="str">
        <f t="shared" si="13"/>
        <v/>
      </c>
    </row>
    <row r="582" spans="2:13" x14ac:dyDescent="0.35">
      <c r="B582" s="10" t="s">
        <v>652</v>
      </c>
      <c r="C582" s="13" t="s">
        <v>31</v>
      </c>
      <c r="D582" s="30">
        <v>42882</v>
      </c>
      <c r="E582" s="13">
        <v>0</v>
      </c>
      <c r="F582" s="13">
        <v>0</v>
      </c>
      <c r="G582" s="13">
        <v>1</v>
      </c>
      <c r="H582" s="13">
        <v>0</v>
      </c>
      <c r="I582" s="13">
        <v>1</v>
      </c>
      <c r="J582" s="13">
        <v>0</v>
      </c>
      <c r="K582" s="55"/>
      <c r="L582" s="32"/>
      <c r="M582" s="145" t="str">
        <f t="shared" si="13"/>
        <v/>
      </c>
    </row>
    <row r="583" spans="2:13" x14ac:dyDescent="0.35">
      <c r="B583" s="10" t="s">
        <v>82</v>
      </c>
      <c r="C583" s="13" t="s">
        <v>31</v>
      </c>
      <c r="D583" s="30">
        <v>42888</v>
      </c>
      <c r="E583" s="13">
        <v>0</v>
      </c>
      <c r="F583" s="13">
        <v>0</v>
      </c>
      <c r="G583" s="13">
        <v>1</v>
      </c>
      <c r="H583" s="13">
        <v>0</v>
      </c>
      <c r="I583" s="13">
        <v>1</v>
      </c>
      <c r="J583" s="13">
        <v>0</v>
      </c>
      <c r="K583" s="55"/>
      <c r="L583" s="32"/>
      <c r="M583" s="145" t="str">
        <f t="shared" ref="M583:M646" si="14">IF(K583="", "", K583-D583)</f>
        <v/>
      </c>
    </row>
    <row r="584" spans="2:13" x14ac:dyDescent="0.35">
      <c r="B584" s="10" t="s">
        <v>442</v>
      </c>
      <c r="C584" s="13" t="s">
        <v>20</v>
      </c>
      <c r="D584" s="30">
        <v>42901</v>
      </c>
      <c r="E584" s="13">
        <v>0</v>
      </c>
      <c r="F584" s="13">
        <v>0</v>
      </c>
      <c r="G584" s="13">
        <v>1</v>
      </c>
      <c r="H584" s="13">
        <v>0</v>
      </c>
      <c r="I584" s="13">
        <v>1</v>
      </c>
      <c r="J584" s="13">
        <v>0</v>
      </c>
      <c r="K584" s="55"/>
      <c r="L584" s="32"/>
      <c r="M584" s="145" t="str">
        <f t="shared" si="14"/>
        <v/>
      </c>
    </row>
    <row r="585" spans="2:13" x14ac:dyDescent="0.35">
      <c r="B585" s="10" t="s">
        <v>575</v>
      </c>
      <c r="C585" s="13" t="s">
        <v>31</v>
      </c>
      <c r="D585" s="30">
        <v>42849</v>
      </c>
      <c r="E585" s="13">
        <v>0</v>
      </c>
      <c r="F585" s="13">
        <v>0</v>
      </c>
      <c r="G585" s="13">
        <v>1</v>
      </c>
      <c r="H585" s="13">
        <v>0</v>
      </c>
      <c r="I585" s="13">
        <v>1</v>
      </c>
      <c r="J585" s="13">
        <v>0</v>
      </c>
      <c r="K585" s="55"/>
      <c r="L585" s="32"/>
      <c r="M585" s="145" t="str">
        <f t="shared" si="14"/>
        <v/>
      </c>
    </row>
    <row r="586" spans="2:13" x14ac:dyDescent="0.35">
      <c r="B586" s="10" t="s">
        <v>265</v>
      </c>
      <c r="C586" s="13" t="s">
        <v>20</v>
      </c>
      <c r="D586" s="30">
        <v>42841</v>
      </c>
      <c r="E586" s="13">
        <v>0</v>
      </c>
      <c r="F586" s="13">
        <v>0</v>
      </c>
      <c r="G586" s="13">
        <v>1</v>
      </c>
      <c r="H586" s="13">
        <v>0</v>
      </c>
      <c r="I586" s="13">
        <v>1</v>
      </c>
      <c r="J586" s="13">
        <v>0</v>
      </c>
      <c r="K586" s="55"/>
      <c r="L586" s="32"/>
      <c r="M586" s="145" t="str">
        <f t="shared" si="14"/>
        <v/>
      </c>
    </row>
    <row r="587" spans="2:13" x14ac:dyDescent="0.35">
      <c r="B587" s="10" t="s">
        <v>103</v>
      </c>
      <c r="C587" s="13" t="s">
        <v>20</v>
      </c>
      <c r="D587" s="30">
        <v>42840</v>
      </c>
      <c r="E587" s="13">
        <v>0</v>
      </c>
      <c r="F587" s="13">
        <v>0</v>
      </c>
      <c r="G587" s="13">
        <v>1</v>
      </c>
      <c r="H587" s="13">
        <v>0</v>
      </c>
      <c r="I587" s="13">
        <v>1</v>
      </c>
      <c r="J587" s="13">
        <v>0</v>
      </c>
      <c r="K587" s="55"/>
      <c r="L587" s="32"/>
      <c r="M587" s="145" t="str">
        <f t="shared" si="14"/>
        <v/>
      </c>
    </row>
    <row r="588" spans="2:13" x14ac:dyDescent="0.35">
      <c r="B588" s="10" t="s">
        <v>465</v>
      </c>
      <c r="C588" s="13" t="s">
        <v>20</v>
      </c>
      <c r="D588" s="30">
        <v>42844</v>
      </c>
      <c r="E588" s="13">
        <v>0</v>
      </c>
      <c r="F588" s="13">
        <v>0</v>
      </c>
      <c r="G588" s="13">
        <v>1</v>
      </c>
      <c r="H588" s="13">
        <v>0</v>
      </c>
      <c r="I588" s="13">
        <v>1</v>
      </c>
      <c r="J588" s="13">
        <v>0</v>
      </c>
      <c r="K588" s="55"/>
      <c r="L588" s="32"/>
      <c r="M588" s="145" t="str">
        <f t="shared" si="14"/>
        <v/>
      </c>
    </row>
    <row r="589" spans="2:13" x14ac:dyDescent="0.35">
      <c r="B589" s="10" t="s">
        <v>197</v>
      </c>
      <c r="C589" s="13" t="s">
        <v>20</v>
      </c>
      <c r="D589" s="30">
        <v>42861</v>
      </c>
      <c r="E589" s="13">
        <v>0</v>
      </c>
      <c r="F589" s="13">
        <v>0</v>
      </c>
      <c r="G589" s="13">
        <v>1</v>
      </c>
      <c r="H589" s="13">
        <v>0</v>
      </c>
      <c r="I589" s="13">
        <v>1</v>
      </c>
      <c r="J589" s="13">
        <v>0</v>
      </c>
      <c r="K589" s="55"/>
      <c r="L589" s="32"/>
      <c r="M589" s="145" t="str">
        <f t="shared" si="14"/>
        <v/>
      </c>
    </row>
    <row r="590" spans="2:13" x14ac:dyDescent="0.35">
      <c r="B590" s="10" t="s">
        <v>312</v>
      </c>
      <c r="C590" s="13" t="s">
        <v>20</v>
      </c>
      <c r="D590" s="30">
        <v>42870</v>
      </c>
      <c r="E590" s="13">
        <v>0</v>
      </c>
      <c r="F590" s="13">
        <v>0</v>
      </c>
      <c r="G590" s="13">
        <v>1</v>
      </c>
      <c r="H590" s="13">
        <v>0</v>
      </c>
      <c r="I590" s="13">
        <v>1</v>
      </c>
      <c r="J590" s="13">
        <v>0</v>
      </c>
      <c r="K590" s="55"/>
      <c r="L590" s="32"/>
      <c r="M590" s="145" t="str">
        <f t="shared" si="14"/>
        <v/>
      </c>
    </row>
    <row r="591" spans="2:13" x14ac:dyDescent="0.35">
      <c r="B591" s="10" t="s">
        <v>714</v>
      </c>
      <c r="C591" s="13" t="s">
        <v>20</v>
      </c>
      <c r="D591" s="30">
        <v>42845</v>
      </c>
      <c r="E591" s="13">
        <v>0</v>
      </c>
      <c r="F591" s="13">
        <v>0</v>
      </c>
      <c r="G591" s="13">
        <v>1</v>
      </c>
      <c r="H591" s="13">
        <v>0</v>
      </c>
      <c r="I591" s="13">
        <v>1</v>
      </c>
      <c r="J591" s="13">
        <v>0</v>
      </c>
      <c r="K591" s="55"/>
      <c r="L591" s="32"/>
      <c r="M591" s="145" t="str">
        <f t="shared" si="14"/>
        <v/>
      </c>
    </row>
    <row r="592" spans="2:13" x14ac:dyDescent="0.35">
      <c r="B592" s="10" t="s">
        <v>549</v>
      </c>
      <c r="C592" s="13" t="s">
        <v>20</v>
      </c>
      <c r="D592" s="30">
        <v>42882</v>
      </c>
      <c r="E592" s="13">
        <v>0</v>
      </c>
      <c r="F592" s="13">
        <v>0</v>
      </c>
      <c r="G592" s="13">
        <v>1</v>
      </c>
      <c r="H592" s="13">
        <v>0</v>
      </c>
      <c r="I592" s="13">
        <v>1</v>
      </c>
      <c r="J592" s="13">
        <v>0</v>
      </c>
      <c r="K592" s="55"/>
      <c r="L592" s="32"/>
      <c r="M592" s="145" t="str">
        <f t="shared" si="14"/>
        <v/>
      </c>
    </row>
    <row r="593" spans="2:13" x14ac:dyDescent="0.35">
      <c r="B593" s="10" t="s">
        <v>398</v>
      </c>
      <c r="C593" s="13" t="s">
        <v>20</v>
      </c>
      <c r="D593" s="30">
        <v>42837</v>
      </c>
      <c r="E593" s="13">
        <v>0</v>
      </c>
      <c r="F593" s="13">
        <v>0</v>
      </c>
      <c r="G593" s="13">
        <v>1</v>
      </c>
      <c r="H593" s="13">
        <v>0</v>
      </c>
      <c r="I593" s="13">
        <v>1</v>
      </c>
      <c r="J593" s="13">
        <v>0</v>
      </c>
      <c r="K593" s="55"/>
      <c r="L593" s="32"/>
      <c r="M593" s="145" t="str">
        <f t="shared" si="14"/>
        <v/>
      </c>
    </row>
    <row r="594" spans="2:13" x14ac:dyDescent="0.35">
      <c r="B594" s="10" t="s">
        <v>416</v>
      </c>
      <c r="C594" s="13" t="s">
        <v>20</v>
      </c>
      <c r="D594" s="30">
        <v>42886</v>
      </c>
      <c r="E594" s="13">
        <v>0</v>
      </c>
      <c r="F594" s="13">
        <v>0</v>
      </c>
      <c r="G594" s="13">
        <v>1</v>
      </c>
      <c r="H594" s="13">
        <v>0</v>
      </c>
      <c r="I594" s="13">
        <v>1</v>
      </c>
      <c r="J594" s="13">
        <v>0</v>
      </c>
      <c r="K594" s="55"/>
      <c r="L594" s="32"/>
      <c r="M594" s="145" t="str">
        <f t="shared" si="14"/>
        <v/>
      </c>
    </row>
    <row r="595" spans="2:13" x14ac:dyDescent="0.35">
      <c r="B595" s="10" t="s">
        <v>258</v>
      </c>
      <c r="C595" s="13" t="s">
        <v>31</v>
      </c>
      <c r="D595" s="30">
        <v>42863</v>
      </c>
      <c r="E595" s="13">
        <v>0</v>
      </c>
      <c r="F595" s="13">
        <v>0</v>
      </c>
      <c r="G595" s="13">
        <v>1</v>
      </c>
      <c r="H595" s="13">
        <v>0</v>
      </c>
      <c r="I595" s="13">
        <v>1</v>
      </c>
      <c r="J595" s="13">
        <v>0</v>
      </c>
      <c r="K595" s="55"/>
      <c r="L595" s="32"/>
      <c r="M595" s="145" t="str">
        <f t="shared" si="14"/>
        <v/>
      </c>
    </row>
    <row r="596" spans="2:13" x14ac:dyDescent="0.35">
      <c r="B596" s="10" t="s">
        <v>684</v>
      </c>
      <c r="C596" s="13" t="s">
        <v>20</v>
      </c>
      <c r="D596" s="30">
        <v>42861</v>
      </c>
      <c r="E596" s="13">
        <v>0</v>
      </c>
      <c r="F596" s="13">
        <v>0</v>
      </c>
      <c r="G596" s="13">
        <v>1</v>
      </c>
      <c r="H596" s="13">
        <v>0</v>
      </c>
      <c r="I596" s="13">
        <v>1</v>
      </c>
      <c r="J596" s="13">
        <v>0</v>
      </c>
      <c r="K596" s="55"/>
      <c r="L596" s="32"/>
      <c r="M596" s="145" t="str">
        <f t="shared" si="14"/>
        <v/>
      </c>
    </row>
    <row r="597" spans="2:13" x14ac:dyDescent="0.35">
      <c r="B597" s="10" t="s">
        <v>658</v>
      </c>
      <c r="C597" s="13" t="s">
        <v>20</v>
      </c>
      <c r="D597" s="30">
        <v>42872</v>
      </c>
      <c r="E597" s="13">
        <v>0</v>
      </c>
      <c r="F597" s="13">
        <v>0</v>
      </c>
      <c r="G597" s="13">
        <v>1</v>
      </c>
      <c r="H597" s="13">
        <v>0</v>
      </c>
      <c r="I597" s="13">
        <v>1</v>
      </c>
      <c r="J597" s="13">
        <v>0</v>
      </c>
      <c r="K597" s="55"/>
      <c r="L597" s="32"/>
      <c r="M597" s="145" t="str">
        <f t="shared" si="14"/>
        <v/>
      </c>
    </row>
    <row r="598" spans="2:13" x14ac:dyDescent="0.35">
      <c r="B598" s="10" t="s">
        <v>574</v>
      </c>
      <c r="C598" s="13" t="s">
        <v>20</v>
      </c>
      <c r="D598" s="30">
        <v>42912</v>
      </c>
      <c r="E598" s="13">
        <v>0</v>
      </c>
      <c r="F598" s="13">
        <v>0</v>
      </c>
      <c r="G598" s="13">
        <v>1</v>
      </c>
      <c r="H598" s="13">
        <v>0</v>
      </c>
      <c r="I598" s="13">
        <v>1</v>
      </c>
      <c r="J598" s="13">
        <v>0</v>
      </c>
      <c r="K598" s="55"/>
      <c r="L598" s="32"/>
      <c r="M598" s="145" t="str">
        <f t="shared" si="14"/>
        <v/>
      </c>
    </row>
    <row r="599" spans="2:13" x14ac:dyDescent="0.35">
      <c r="B599" s="10" t="s">
        <v>206</v>
      </c>
      <c r="C599" s="13" t="s">
        <v>31</v>
      </c>
      <c r="D599" s="30">
        <v>42848</v>
      </c>
      <c r="E599" s="13">
        <v>0</v>
      </c>
      <c r="F599" s="13">
        <v>0</v>
      </c>
      <c r="G599" s="13">
        <v>1</v>
      </c>
      <c r="H599" s="13">
        <v>0</v>
      </c>
      <c r="I599" s="13">
        <v>1</v>
      </c>
      <c r="J599" s="13">
        <v>0</v>
      </c>
      <c r="K599" s="55"/>
      <c r="L599" s="32"/>
      <c r="M599" s="145" t="str">
        <f t="shared" si="14"/>
        <v/>
      </c>
    </row>
    <row r="600" spans="2:13" x14ac:dyDescent="0.35">
      <c r="B600" s="10" t="s">
        <v>359</v>
      </c>
      <c r="C600" s="13" t="s">
        <v>20</v>
      </c>
      <c r="D600" s="30">
        <v>42842</v>
      </c>
      <c r="E600" s="13">
        <v>0</v>
      </c>
      <c r="F600" s="13">
        <v>0</v>
      </c>
      <c r="G600" s="13">
        <v>1</v>
      </c>
      <c r="H600" s="13">
        <v>0</v>
      </c>
      <c r="I600" s="13">
        <v>1</v>
      </c>
      <c r="J600" s="13">
        <v>0</v>
      </c>
      <c r="K600" s="55"/>
      <c r="L600" s="32"/>
      <c r="M600" s="145" t="str">
        <f t="shared" si="14"/>
        <v/>
      </c>
    </row>
    <row r="601" spans="2:13" x14ac:dyDescent="0.35">
      <c r="B601" s="10" t="s">
        <v>168</v>
      </c>
      <c r="C601" s="13" t="s">
        <v>31</v>
      </c>
      <c r="D601" s="30">
        <v>42879</v>
      </c>
      <c r="E601" s="13">
        <v>0</v>
      </c>
      <c r="F601" s="13">
        <v>0</v>
      </c>
      <c r="G601" s="13">
        <v>1</v>
      </c>
      <c r="H601" s="13">
        <v>0</v>
      </c>
      <c r="I601" s="13">
        <v>1</v>
      </c>
      <c r="J601" s="13">
        <v>0</v>
      </c>
      <c r="K601" s="55"/>
      <c r="L601" s="32"/>
      <c r="M601" s="145" t="str">
        <f t="shared" si="14"/>
        <v/>
      </c>
    </row>
    <row r="602" spans="2:13" x14ac:dyDescent="0.35">
      <c r="B602" s="10" t="s">
        <v>648</v>
      </c>
      <c r="C602" s="13" t="s">
        <v>20</v>
      </c>
      <c r="D602" s="30">
        <v>42902</v>
      </c>
      <c r="E602" s="13">
        <v>0</v>
      </c>
      <c r="F602" s="13">
        <v>0</v>
      </c>
      <c r="G602" s="13">
        <v>1</v>
      </c>
      <c r="H602" s="13">
        <v>0</v>
      </c>
      <c r="I602" s="13">
        <v>1</v>
      </c>
      <c r="J602" s="13">
        <v>0</v>
      </c>
      <c r="K602" s="55"/>
      <c r="L602" s="32"/>
      <c r="M602" s="145" t="str">
        <f t="shared" si="14"/>
        <v/>
      </c>
    </row>
    <row r="603" spans="2:13" x14ac:dyDescent="0.35">
      <c r="B603" s="10" t="s">
        <v>667</v>
      </c>
      <c r="C603" s="13" t="s">
        <v>31</v>
      </c>
      <c r="D603" s="30">
        <v>42907</v>
      </c>
      <c r="E603" s="13">
        <v>0</v>
      </c>
      <c r="F603" s="13">
        <v>0</v>
      </c>
      <c r="G603" s="13">
        <v>1</v>
      </c>
      <c r="H603" s="13">
        <v>0</v>
      </c>
      <c r="I603" s="13">
        <v>1</v>
      </c>
      <c r="J603" s="13">
        <v>0</v>
      </c>
      <c r="K603" s="55"/>
      <c r="L603" s="32"/>
      <c r="M603" s="145" t="str">
        <f t="shared" si="14"/>
        <v/>
      </c>
    </row>
    <row r="604" spans="2:13" x14ac:dyDescent="0.35">
      <c r="B604" s="10" t="s">
        <v>132</v>
      </c>
      <c r="C604" s="13" t="s">
        <v>20</v>
      </c>
      <c r="D604" s="30">
        <v>42892</v>
      </c>
      <c r="E604" s="13">
        <v>0</v>
      </c>
      <c r="F604" s="13">
        <v>0</v>
      </c>
      <c r="G604" s="13">
        <v>1</v>
      </c>
      <c r="H604" s="13">
        <v>0</v>
      </c>
      <c r="I604" s="13">
        <v>1</v>
      </c>
      <c r="J604" s="13">
        <v>0</v>
      </c>
      <c r="K604" s="55"/>
      <c r="L604" s="32"/>
      <c r="M604" s="145" t="str">
        <f t="shared" si="14"/>
        <v/>
      </c>
    </row>
    <row r="605" spans="2:13" x14ac:dyDescent="0.35">
      <c r="B605" s="10" t="s">
        <v>719</v>
      </c>
      <c r="C605" s="13" t="s">
        <v>20</v>
      </c>
      <c r="D605" s="30">
        <v>42887</v>
      </c>
      <c r="E605" s="13">
        <v>0</v>
      </c>
      <c r="F605" s="13">
        <v>0</v>
      </c>
      <c r="G605" s="13">
        <v>1</v>
      </c>
      <c r="H605" s="13">
        <v>0</v>
      </c>
      <c r="I605" s="13">
        <v>1</v>
      </c>
      <c r="J605" s="13">
        <v>0</v>
      </c>
      <c r="K605" s="55"/>
      <c r="L605" s="32"/>
      <c r="M605" s="145" t="str">
        <f t="shared" si="14"/>
        <v/>
      </c>
    </row>
    <row r="606" spans="2:13" x14ac:dyDescent="0.35">
      <c r="B606" s="10" t="s">
        <v>57</v>
      </c>
      <c r="C606" s="13" t="s">
        <v>20</v>
      </c>
      <c r="D606" s="30">
        <v>42909</v>
      </c>
      <c r="E606" s="13">
        <v>0</v>
      </c>
      <c r="F606" s="13">
        <v>0</v>
      </c>
      <c r="G606" s="13">
        <v>1</v>
      </c>
      <c r="H606" s="13">
        <v>0</v>
      </c>
      <c r="I606" s="13">
        <v>1</v>
      </c>
      <c r="J606" s="13">
        <v>0</v>
      </c>
      <c r="K606" s="55"/>
      <c r="L606" s="32"/>
      <c r="M606" s="145" t="str">
        <f t="shared" si="14"/>
        <v/>
      </c>
    </row>
    <row r="607" spans="2:13" x14ac:dyDescent="0.35">
      <c r="B607" s="10" t="s">
        <v>337</v>
      </c>
      <c r="C607" s="13" t="s">
        <v>20</v>
      </c>
      <c r="D607" s="30">
        <v>42846</v>
      </c>
      <c r="E607" s="13">
        <v>0</v>
      </c>
      <c r="F607" s="13">
        <v>0</v>
      </c>
      <c r="G607" s="13">
        <v>1</v>
      </c>
      <c r="H607" s="13">
        <v>0</v>
      </c>
      <c r="I607" s="13">
        <v>1</v>
      </c>
      <c r="J607" s="13">
        <v>0</v>
      </c>
      <c r="K607" s="55"/>
      <c r="L607" s="32"/>
      <c r="M607" s="145" t="str">
        <f t="shared" si="14"/>
        <v/>
      </c>
    </row>
    <row r="608" spans="2:13" x14ac:dyDescent="0.35">
      <c r="B608" s="10" t="s">
        <v>292</v>
      </c>
      <c r="C608" s="13" t="s">
        <v>20</v>
      </c>
      <c r="D608" s="30">
        <v>42875</v>
      </c>
      <c r="E608" s="13">
        <v>0</v>
      </c>
      <c r="F608" s="13">
        <v>0</v>
      </c>
      <c r="G608" s="13">
        <v>1</v>
      </c>
      <c r="H608" s="13">
        <v>0</v>
      </c>
      <c r="I608" s="13">
        <v>1</v>
      </c>
      <c r="J608" s="13">
        <v>0</v>
      </c>
      <c r="K608" s="55"/>
      <c r="L608" s="32"/>
      <c r="M608" s="145" t="str">
        <f t="shared" si="14"/>
        <v/>
      </c>
    </row>
    <row r="609" spans="2:13" x14ac:dyDescent="0.35">
      <c r="B609" s="10" t="s">
        <v>59</v>
      </c>
      <c r="C609" s="13" t="s">
        <v>20</v>
      </c>
      <c r="D609" s="30">
        <v>42843</v>
      </c>
      <c r="E609" s="13">
        <v>0</v>
      </c>
      <c r="F609" s="13">
        <v>0</v>
      </c>
      <c r="G609" s="13">
        <v>1</v>
      </c>
      <c r="H609" s="13">
        <v>0</v>
      </c>
      <c r="I609" s="13">
        <v>1</v>
      </c>
      <c r="J609" s="13">
        <v>0</v>
      </c>
      <c r="K609" s="55"/>
      <c r="L609" s="32"/>
      <c r="M609" s="145" t="str">
        <f t="shared" si="14"/>
        <v/>
      </c>
    </row>
    <row r="610" spans="2:13" x14ac:dyDescent="0.35">
      <c r="B610" s="10" t="s">
        <v>299</v>
      </c>
      <c r="C610" s="13" t="s">
        <v>31</v>
      </c>
      <c r="D610" s="30">
        <v>42909</v>
      </c>
      <c r="E610" s="13">
        <v>0</v>
      </c>
      <c r="F610" s="13">
        <v>0</v>
      </c>
      <c r="G610" s="13">
        <v>1</v>
      </c>
      <c r="H610" s="13">
        <v>0</v>
      </c>
      <c r="I610" s="13">
        <v>1</v>
      </c>
      <c r="J610" s="13">
        <v>0</v>
      </c>
      <c r="K610" s="55"/>
      <c r="L610" s="32"/>
      <c r="M610" s="145" t="str">
        <f t="shared" si="14"/>
        <v/>
      </c>
    </row>
    <row r="611" spans="2:13" x14ac:dyDescent="0.35">
      <c r="B611" s="10" t="s">
        <v>58</v>
      </c>
      <c r="C611" s="13" t="s">
        <v>31</v>
      </c>
      <c r="D611" s="30">
        <v>42837</v>
      </c>
      <c r="E611" s="13">
        <v>0</v>
      </c>
      <c r="F611" s="13">
        <v>0</v>
      </c>
      <c r="G611" s="13">
        <v>1</v>
      </c>
      <c r="H611" s="13">
        <v>0</v>
      </c>
      <c r="I611" s="13">
        <v>1</v>
      </c>
      <c r="J611" s="13">
        <v>0</v>
      </c>
      <c r="K611" s="55"/>
      <c r="L611" s="32"/>
      <c r="M611" s="145" t="str">
        <f t="shared" si="14"/>
        <v/>
      </c>
    </row>
    <row r="612" spans="2:13" x14ac:dyDescent="0.35">
      <c r="B612" s="10" t="s">
        <v>547</v>
      </c>
      <c r="C612" s="13" t="s">
        <v>20</v>
      </c>
      <c r="D612" s="30">
        <v>42831</v>
      </c>
      <c r="E612" s="13">
        <v>0</v>
      </c>
      <c r="F612" s="13">
        <v>0</v>
      </c>
      <c r="G612" s="13">
        <v>1</v>
      </c>
      <c r="H612" s="13">
        <v>0</v>
      </c>
      <c r="I612" s="13">
        <v>1</v>
      </c>
      <c r="J612" s="13">
        <v>0</v>
      </c>
      <c r="K612" s="55"/>
      <c r="L612" s="32"/>
      <c r="M612" s="145" t="str">
        <f t="shared" si="14"/>
        <v/>
      </c>
    </row>
    <row r="613" spans="2:13" x14ac:dyDescent="0.35">
      <c r="B613" s="10" t="s">
        <v>44</v>
      </c>
      <c r="C613" s="13" t="s">
        <v>20</v>
      </c>
      <c r="D613" s="30">
        <v>42878</v>
      </c>
      <c r="E613" s="13">
        <v>0</v>
      </c>
      <c r="F613" s="13">
        <v>0</v>
      </c>
      <c r="G613" s="13">
        <v>1</v>
      </c>
      <c r="H613" s="13">
        <v>0</v>
      </c>
      <c r="I613" s="13">
        <v>1</v>
      </c>
      <c r="J613" s="13">
        <v>0</v>
      </c>
      <c r="K613" s="55"/>
      <c r="L613" s="32"/>
      <c r="M613" s="145" t="str">
        <f t="shared" si="14"/>
        <v/>
      </c>
    </row>
    <row r="614" spans="2:13" x14ac:dyDescent="0.35">
      <c r="B614" s="10" t="s">
        <v>495</v>
      </c>
      <c r="C614" s="13" t="s">
        <v>31</v>
      </c>
      <c r="D614" s="30">
        <v>42862</v>
      </c>
      <c r="E614" s="13">
        <v>0</v>
      </c>
      <c r="F614" s="13">
        <v>0</v>
      </c>
      <c r="G614" s="13">
        <v>1</v>
      </c>
      <c r="H614" s="13">
        <v>0</v>
      </c>
      <c r="I614" s="13">
        <v>1</v>
      </c>
      <c r="J614" s="13">
        <v>0</v>
      </c>
      <c r="K614" s="55"/>
      <c r="L614" s="32"/>
      <c r="M614" s="145" t="str">
        <f t="shared" si="14"/>
        <v/>
      </c>
    </row>
    <row r="615" spans="2:13" x14ac:dyDescent="0.35">
      <c r="B615" s="10" t="s">
        <v>425</v>
      </c>
      <c r="C615" s="13" t="s">
        <v>31</v>
      </c>
      <c r="D615" s="30">
        <v>42902</v>
      </c>
      <c r="E615" s="13">
        <v>0</v>
      </c>
      <c r="F615" s="13">
        <v>0</v>
      </c>
      <c r="G615" s="13">
        <v>1</v>
      </c>
      <c r="H615" s="13">
        <v>0</v>
      </c>
      <c r="I615" s="13">
        <v>1</v>
      </c>
      <c r="J615" s="13">
        <v>0</v>
      </c>
      <c r="K615" s="55"/>
      <c r="L615" s="32"/>
      <c r="M615" s="145" t="str">
        <f t="shared" si="14"/>
        <v/>
      </c>
    </row>
    <row r="616" spans="2:13" x14ac:dyDescent="0.35">
      <c r="B616" s="10" t="s">
        <v>524</v>
      </c>
      <c r="C616" s="13" t="s">
        <v>20</v>
      </c>
      <c r="D616" s="30">
        <v>42857</v>
      </c>
      <c r="E616" s="13">
        <v>0</v>
      </c>
      <c r="F616" s="13">
        <v>0</v>
      </c>
      <c r="G616" s="13">
        <v>1</v>
      </c>
      <c r="H616" s="13">
        <v>0</v>
      </c>
      <c r="I616" s="13">
        <v>1</v>
      </c>
      <c r="J616" s="13">
        <v>0</v>
      </c>
      <c r="K616" s="55"/>
      <c r="L616" s="32"/>
      <c r="M616" s="145" t="str">
        <f t="shared" si="14"/>
        <v/>
      </c>
    </row>
    <row r="617" spans="2:13" x14ac:dyDescent="0.35">
      <c r="B617" s="10" t="s">
        <v>588</v>
      </c>
      <c r="C617" s="13" t="s">
        <v>20</v>
      </c>
      <c r="D617" s="30">
        <v>42913</v>
      </c>
      <c r="E617" s="13">
        <v>0</v>
      </c>
      <c r="F617" s="13">
        <v>0</v>
      </c>
      <c r="G617" s="13">
        <v>1</v>
      </c>
      <c r="H617" s="13">
        <v>0</v>
      </c>
      <c r="I617" s="13">
        <v>1</v>
      </c>
      <c r="J617" s="13">
        <v>0</v>
      </c>
      <c r="K617" s="55"/>
      <c r="L617" s="32"/>
      <c r="M617" s="145" t="str">
        <f t="shared" si="14"/>
        <v/>
      </c>
    </row>
    <row r="618" spans="2:13" x14ac:dyDescent="0.35">
      <c r="B618" s="10" t="s">
        <v>573</v>
      </c>
      <c r="C618" s="13" t="s">
        <v>20</v>
      </c>
      <c r="D618" s="30">
        <v>42855</v>
      </c>
      <c r="E618" s="13">
        <v>0</v>
      </c>
      <c r="F618" s="13">
        <v>0</v>
      </c>
      <c r="G618" s="13">
        <v>1</v>
      </c>
      <c r="H618" s="13">
        <v>0</v>
      </c>
      <c r="I618" s="13">
        <v>1</v>
      </c>
      <c r="J618" s="13">
        <v>0</v>
      </c>
      <c r="K618" s="55"/>
      <c r="L618" s="32"/>
      <c r="M618" s="145" t="str">
        <f t="shared" si="14"/>
        <v/>
      </c>
    </row>
    <row r="619" spans="2:13" x14ac:dyDescent="0.35">
      <c r="B619" s="10" t="s">
        <v>74</v>
      </c>
      <c r="C619" s="13" t="s">
        <v>20</v>
      </c>
      <c r="D619" s="30">
        <v>42850</v>
      </c>
      <c r="E619" s="13">
        <v>0</v>
      </c>
      <c r="F619" s="13">
        <v>0</v>
      </c>
      <c r="G619" s="13">
        <v>1</v>
      </c>
      <c r="H619" s="13">
        <v>0</v>
      </c>
      <c r="I619" s="13">
        <v>1</v>
      </c>
      <c r="J619" s="13">
        <v>0</v>
      </c>
      <c r="K619" s="55"/>
      <c r="L619" s="32"/>
      <c r="M619" s="145" t="str">
        <f t="shared" si="14"/>
        <v/>
      </c>
    </row>
    <row r="620" spans="2:13" x14ac:dyDescent="0.35">
      <c r="B620" s="10" t="s">
        <v>432</v>
      </c>
      <c r="C620" s="13" t="s">
        <v>31</v>
      </c>
      <c r="D620" s="30">
        <v>42838</v>
      </c>
      <c r="E620" s="13">
        <v>0</v>
      </c>
      <c r="F620" s="13">
        <v>0</v>
      </c>
      <c r="G620" s="13">
        <v>1</v>
      </c>
      <c r="H620" s="13">
        <v>0</v>
      </c>
      <c r="I620" s="13">
        <v>1</v>
      </c>
      <c r="J620" s="13">
        <v>0</v>
      </c>
      <c r="K620" s="55"/>
      <c r="L620" s="32"/>
      <c r="M620" s="145" t="str">
        <f t="shared" si="14"/>
        <v/>
      </c>
    </row>
    <row r="621" spans="2:13" x14ac:dyDescent="0.35">
      <c r="B621" s="10" t="s">
        <v>679</v>
      </c>
      <c r="C621" s="13" t="s">
        <v>31</v>
      </c>
      <c r="D621" s="30">
        <v>42834</v>
      </c>
      <c r="E621" s="13">
        <v>0</v>
      </c>
      <c r="F621" s="13">
        <v>0</v>
      </c>
      <c r="G621" s="13">
        <v>1</v>
      </c>
      <c r="H621" s="13">
        <v>0</v>
      </c>
      <c r="I621" s="13">
        <v>1</v>
      </c>
      <c r="J621" s="13">
        <v>0</v>
      </c>
      <c r="K621" s="55"/>
      <c r="L621" s="32"/>
      <c r="M621" s="145" t="str">
        <f t="shared" si="14"/>
        <v/>
      </c>
    </row>
    <row r="622" spans="2:13" x14ac:dyDescent="0.35">
      <c r="B622" s="10" t="s">
        <v>499</v>
      </c>
      <c r="C622" s="13" t="s">
        <v>31</v>
      </c>
      <c r="D622" s="30">
        <v>42866</v>
      </c>
      <c r="E622" s="13">
        <v>0</v>
      </c>
      <c r="F622" s="13">
        <v>0</v>
      </c>
      <c r="G622" s="13">
        <v>1</v>
      </c>
      <c r="H622" s="13">
        <v>0</v>
      </c>
      <c r="I622" s="13">
        <v>1</v>
      </c>
      <c r="J622" s="13">
        <v>0</v>
      </c>
      <c r="K622" s="55"/>
      <c r="L622" s="32"/>
      <c r="M622" s="145" t="str">
        <f t="shared" si="14"/>
        <v/>
      </c>
    </row>
    <row r="623" spans="2:13" x14ac:dyDescent="0.35">
      <c r="B623" s="10" t="s">
        <v>42</v>
      </c>
      <c r="C623" s="13" t="s">
        <v>20</v>
      </c>
      <c r="D623" s="30">
        <v>42909</v>
      </c>
      <c r="E623" s="13">
        <v>0</v>
      </c>
      <c r="F623" s="13">
        <v>0</v>
      </c>
      <c r="G623" s="13">
        <v>1</v>
      </c>
      <c r="H623" s="13">
        <v>0</v>
      </c>
      <c r="I623" s="13">
        <v>1</v>
      </c>
      <c r="J623" s="13">
        <v>0</v>
      </c>
      <c r="K623" s="55"/>
      <c r="L623" s="32"/>
      <c r="M623" s="145" t="str">
        <f t="shared" si="14"/>
        <v/>
      </c>
    </row>
    <row r="624" spans="2:13" x14ac:dyDescent="0.35">
      <c r="B624" s="10" t="s">
        <v>457</v>
      </c>
      <c r="C624" s="13" t="s">
        <v>31</v>
      </c>
      <c r="D624" s="30">
        <v>42859</v>
      </c>
      <c r="E624" s="13">
        <v>0</v>
      </c>
      <c r="F624" s="13">
        <v>0</v>
      </c>
      <c r="G624" s="13">
        <v>1</v>
      </c>
      <c r="H624" s="13">
        <v>0</v>
      </c>
      <c r="I624" s="13">
        <v>1</v>
      </c>
      <c r="J624" s="13">
        <v>0</v>
      </c>
      <c r="K624" s="55"/>
      <c r="L624" s="32"/>
      <c r="M624" s="145" t="str">
        <f t="shared" si="14"/>
        <v/>
      </c>
    </row>
    <row r="625" spans="2:13" x14ac:dyDescent="0.35">
      <c r="B625" s="10" t="s">
        <v>73</v>
      </c>
      <c r="C625" s="13" t="s">
        <v>20</v>
      </c>
      <c r="D625" s="30">
        <v>42831</v>
      </c>
      <c r="E625" s="13">
        <v>0</v>
      </c>
      <c r="F625" s="13">
        <v>0</v>
      </c>
      <c r="G625" s="13">
        <v>1</v>
      </c>
      <c r="H625" s="13">
        <v>0</v>
      </c>
      <c r="I625" s="13">
        <v>1</v>
      </c>
      <c r="J625" s="13">
        <v>0</v>
      </c>
      <c r="K625" s="55"/>
      <c r="L625" s="32"/>
      <c r="M625" s="145" t="str">
        <f t="shared" si="14"/>
        <v/>
      </c>
    </row>
    <row r="626" spans="2:13" x14ac:dyDescent="0.35">
      <c r="B626" s="10" t="s">
        <v>205</v>
      </c>
      <c r="C626" s="13" t="s">
        <v>20</v>
      </c>
      <c r="D626" s="30">
        <v>42903</v>
      </c>
      <c r="E626" s="13">
        <v>0</v>
      </c>
      <c r="F626" s="13">
        <v>0</v>
      </c>
      <c r="G626" s="13">
        <v>1</v>
      </c>
      <c r="H626" s="13">
        <v>0</v>
      </c>
      <c r="I626" s="13">
        <v>1</v>
      </c>
      <c r="J626" s="13">
        <v>0</v>
      </c>
      <c r="K626" s="55"/>
      <c r="L626" s="32"/>
      <c r="M626" s="145" t="str">
        <f t="shared" si="14"/>
        <v/>
      </c>
    </row>
    <row r="627" spans="2:13" x14ac:dyDescent="0.35">
      <c r="B627" s="10" t="s">
        <v>705</v>
      </c>
      <c r="C627" s="13" t="s">
        <v>31</v>
      </c>
      <c r="D627" s="30">
        <v>42915</v>
      </c>
      <c r="E627" s="13">
        <v>0</v>
      </c>
      <c r="F627" s="13">
        <v>0</v>
      </c>
      <c r="G627" s="13">
        <v>1</v>
      </c>
      <c r="H627" s="13">
        <v>0</v>
      </c>
      <c r="I627" s="13">
        <v>1</v>
      </c>
      <c r="J627" s="13">
        <v>0</v>
      </c>
      <c r="K627" s="55"/>
      <c r="L627" s="32"/>
      <c r="M627" s="145" t="str">
        <f t="shared" si="14"/>
        <v/>
      </c>
    </row>
    <row r="628" spans="2:13" x14ac:dyDescent="0.35">
      <c r="B628" s="10" t="s">
        <v>352</v>
      </c>
      <c r="C628" s="13" t="s">
        <v>20</v>
      </c>
      <c r="D628" s="30">
        <v>42874</v>
      </c>
      <c r="E628" s="13">
        <v>0</v>
      </c>
      <c r="F628" s="13">
        <v>0</v>
      </c>
      <c r="G628" s="13">
        <v>1</v>
      </c>
      <c r="H628" s="13">
        <v>0</v>
      </c>
      <c r="I628" s="13">
        <v>1</v>
      </c>
      <c r="J628" s="13">
        <v>0</v>
      </c>
      <c r="K628" s="55"/>
      <c r="L628" s="32"/>
      <c r="M628" s="145" t="str">
        <f t="shared" si="14"/>
        <v/>
      </c>
    </row>
    <row r="629" spans="2:13" x14ac:dyDescent="0.35">
      <c r="B629" s="10" t="s">
        <v>697</v>
      </c>
      <c r="C629" s="13" t="s">
        <v>20</v>
      </c>
      <c r="D629" s="30">
        <v>42893</v>
      </c>
      <c r="E629" s="13">
        <v>0</v>
      </c>
      <c r="F629" s="13">
        <v>0</v>
      </c>
      <c r="G629" s="13">
        <v>1</v>
      </c>
      <c r="H629" s="13">
        <v>0</v>
      </c>
      <c r="I629" s="13">
        <v>1</v>
      </c>
      <c r="J629" s="13">
        <v>0</v>
      </c>
      <c r="K629" s="55"/>
      <c r="L629" s="32"/>
      <c r="M629" s="145" t="str">
        <f t="shared" si="14"/>
        <v/>
      </c>
    </row>
    <row r="630" spans="2:13" x14ac:dyDescent="0.35">
      <c r="B630" s="10" t="s">
        <v>551</v>
      </c>
      <c r="C630" s="13" t="s">
        <v>31</v>
      </c>
      <c r="D630" s="30">
        <v>42878</v>
      </c>
      <c r="E630" s="13">
        <v>0</v>
      </c>
      <c r="F630" s="13">
        <v>0</v>
      </c>
      <c r="G630" s="13">
        <v>1</v>
      </c>
      <c r="H630" s="13">
        <v>0</v>
      </c>
      <c r="I630" s="13">
        <v>1</v>
      </c>
      <c r="J630" s="13">
        <v>0</v>
      </c>
      <c r="K630" s="55"/>
      <c r="L630" s="32"/>
      <c r="M630" s="145" t="str">
        <f t="shared" si="14"/>
        <v/>
      </c>
    </row>
    <row r="631" spans="2:13" x14ac:dyDescent="0.35">
      <c r="B631" s="10" t="s">
        <v>523</v>
      </c>
      <c r="C631" s="13" t="s">
        <v>31</v>
      </c>
      <c r="D631" s="30">
        <v>42902</v>
      </c>
      <c r="E631" s="13">
        <v>0</v>
      </c>
      <c r="F631" s="13">
        <v>0</v>
      </c>
      <c r="G631" s="13">
        <v>1</v>
      </c>
      <c r="H631" s="13">
        <v>0</v>
      </c>
      <c r="I631" s="13">
        <v>1</v>
      </c>
      <c r="J631" s="13">
        <v>0</v>
      </c>
      <c r="K631" s="55"/>
      <c r="L631" s="32"/>
      <c r="M631" s="145" t="str">
        <f t="shared" si="14"/>
        <v/>
      </c>
    </row>
    <row r="632" spans="2:13" x14ac:dyDescent="0.35">
      <c r="B632" s="10" t="s">
        <v>579</v>
      </c>
      <c r="C632" s="13" t="s">
        <v>20</v>
      </c>
      <c r="D632" s="30">
        <v>42897</v>
      </c>
      <c r="E632" s="13">
        <v>0</v>
      </c>
      <c r="F632" s="13">
        <v>0</v>
      </c>
      <c r="G632" s="13">
        <v>1</v>
      </c>
      <c r="H632" s="13">
        <v>0</v>
      </c>
      <c r="I632" s="13">
        <v>1</v>
      </c>
      <c r="J632" s="13">
        <v>0</v>
      </c>
      <c r="K632" s="55"/>
      <c r="L632" s="32"/>
      <c r="M632" s="145" t="str">
        <f t="shared" si="14"/>
        <v/>
      </c>
    </row>
    <row r="633" spans="2:13" x14ac:dyDescent="0.35">
      <c r="B633" s="10" t="s">
        <v>239</v>
      </c>
      <c r="C633" s="13" t="s">
        <v>31</v>
      </c>
      <c r="D633" s="30">
        <v>42851</v>
      </c>
      <c r="E633" s="13">
        <v>0</v>
      </c>
      <c r="F633" s="13">
        <v>0</v>
      </c>
      <c r="G633" s="13">
        <v>1</v>
      </c>
      <c r="H633" s="13">
        <v>0</v>
      </c>
      <c r="I633" s="13">
        <v>1</v>
      </c>
      <c r="J633" s="13">
        <v>0</v>
      </c>
      <c r="K633" s="55"/>
      <c r="L633" s="32"/>
      <c r="M633" s="145" t="str">
        <f t="shared" si="14"/>
        <v/>
      </c>
    </row>
    <row r="634" spans="2:13" x14ac:dyDescent="0.35">
      <c r="B634" s="10" t="s">
        <v>725</v>
      </c>
      <c r="C634" s="13" t="s">
        <v>20</v>
      </c>
      <c r="D634" s="30">
        <v>42868</v>
      </c>
      <c r="E634" s="13">
        <v>0</v>
      </c>
      <c r="F634" s="13">
        <v>0</v>
      </c>
      <c r="G634" s="13">
        <v>1</v>
      </c>
      <c r="H634" s="13">
        <v>0</v>
      </c>
      <c r="I634" s="13">
        <v>1</v>
      </c>
      <c r="J634" s="13">
        <v>0</v>
      </c>
      <c r="K634" s="55"/>
      <c r="L634" s="32"/>
      <c r="M634" s="145" t="str">
        <f t="shared" si="14"/>
        <v/>
      </c>
    </row>
    <row r="635" spans="2:13" x14ac:dyDescent="0.35">
      <c r="B635" s="10" t="s">
        <v>174</v>
      </c>
      <c r="C635" s="13" t="s">
        <v>20</v>
      </c>
      <c r="D635" s="30">
        <v>42866</v>
      </c>
      <c r="E635" s="13">
        <v>0</v>
      </c>
      <c r="F635" s="13">
        <v>0</v>
      </c>
      <c r="G635" s="13">
        <v>1</v>
      </c>
      <c r="H635" s="13">
        <v>0</v>
      </c>
      <c r="I635" s="13">
        <v>1</v>
      </c>
      <c r="J635" s="13">
        <v>0</v>
      </c>
      <c r="K635" s="55"/>
      <c r="L635" s="32"/>
      <c r="M635" s="145" t="str">
        <f t="shared" si="14"/>
        <v/>
      </c>
    </row>
    <row r="636" spans="2:13" x14ac:dyDescent="0.35">
      <c r="B636" s="10" t="s">
        <v>755</v>
      </c>
      <c r="C636" s="13" t="s">
        <v>20</v>
      </c>
      <c r="D636" s="30">
        <v>42853</v>
      </c>
      <c r="E636" s="13">
        <v>0</v>
      </c>
      <c r="F636" s="13">
        <v>0</v>
      </c>
      <c r="G636" s="13">
        <v>1</v>
      </c>
      <c r="H636" s="13">
        <v>0</v>
      </c>
      <c r="I636" s="13">
        <v>1</v>
      </c>
      <c r="J636" s="13">
        <v>0</v>
      </c>
      <c r="K636" s="55"/>
      <c r="L636" s="32"/>
      <c r="M636" s="145" t="str">
        <f t="shared" si="14"/>
        <v/>
      </c>
    </row>
    <row r="637" spans="2:13" x14ac:dyDescent="0.35">
      <c r="B637" s="10" t="s">
        <v>334</v>
      </c>
      <c r="C637" s="13" t="s">
        <v>31</v>
      </c>
      <c r="D637" s="30">
        <v>42838</v>
      </c>
      <c r="E637" s="13">
        <v>0</v>
      </c>
      <c r="F637" s="13">
        <v>0</v>
      </c>
      <c r="G637" s="13">
        <v>1</v>
      </c>
      <c r="H637" s="13">
        <v>0</v>
      </c>
      <c r="I637" s="13">
        <v>1</v>
      </c>
      <c r="J637" s="13">
        <v>0</v>
      </c>
      <c r="K637" s="55"/>
      <c r="L637" s="32"/>
      <c r="M637" s="145" t="str">
        <f t="shared" si="14"/>
        <v/>
      </c>
    </row>
    <row r="638" spans="2:13" x14ac:dyDescent="0.35">
      <c r="B638" s="10" t="s">
        <v>980</v>
      </c>
      <c r="C638" s="13" t="s">
        <v>20</v>
      </c>
      <c r="D638" s="30">
        <v>42884</v>
      </c>
      <c r="E638" s="13">
        <v>0</v>
      </c>
      <c r="F638" s="13">
        <v>0</v>
      </c>
      <c r="G638" s="13">
        <v>1</v>
      </c>
      <c r="H638" s="13">
        <v>0</v>
      </c>
      <c r="I638" s="13">
        <v>1</v>
      </c>
      <c r="J638" s="13">
        <v>0</v>
      </c>
      <c r="K638" s="55"/>
      <c r="L638" s="32"/>
      <c r="M638" s="145" t="str">
        <f t="shared" si="14"/>
        <v/>
      </c>
    </row>
    <row r="639" spans="2:13" x14ac:dyDescent="0.35">
      <c r="B639" s="10" t="s">
        <v>624</v>
      </c>
      <c r="C639" s="13" t="s">
        <v>31</v>
      </c>
      <c r="D639" s="30">
        <v>42910</v>
      </c>
      <c r="E639" s="13">
        <v>0</v>
      </c>
      <c r="F639" s="13">
        <v>0</v>
      </c>
      <c r="G639" s="13">
        <v>1</v>
      </c>
      <c r="H639" s="13">
        <v>0</v>
      </c>
      <c r="I639" s="13">
        <v>1</v>
      </c>
      <c r="J639" s="13">
        <v>0</v>
      </c>
      <c r="K639" s="55"/>
      <c r="L639" s="32"/>
      <c r="M639" s="145" t="str">
        <f t="shared" si="14"/>
        <v/>
      </c>
    </row>
    <row r="640" spans="2:13" x14ac:dyDescent="0.35">
      <c r="B640" s="10" t="s">
        <v>529</v>
      </c>
      <c r="C640" s="13" t="s">
        <v>31</v>
      </c>
      <c r="D640" s="30">
        <v>42913</v>
      </c>
      <c r="E640" s="13">
        <v>0</v>
      </c>
      <c r="F640" s="13">
        <v>0</v>
      </c>
      <c r="G640" s="13">
        <v>1</v>
      </c>
      <c r="H640" s="13">
        <v>0</v>
      </c>
      <c r="I640" s="13">
        <v>1</v>
      </c>
      <c r="J640" s="13">
        <v>0</v>
      </c>
      <c r="K640" s="55"/>
      <c r="L640" s="32"/>
      <c r="M640" s="145" t="str">
        <f t="shared" si="14"/>
        <v/>
      </c>
    </row>
    <row r="641" spans="2:13" x14ac:dyDescent="0.35">
      <c r="B641" s="10" t="s">
        <v>389</v>
      </c>
      <c r="C641" s="13" t="s">
        <v>20</v>
      </c>
      <c r="D641" s="30">
        <v>42833</v>
      </c>
      <c r="E641" s="13">
        <v>0</v>
      </c>
      <c r="F641" s="13">
        <v>0</v>
      </c>
      <c r="G641" s="13">
        <v>1</v>
      </c>
      <c r="H641" s="13">
        <v>0</v>
      </c>
      <c r="I641" s="13">
        <v>1</v>
      </c>
      <c r="J641" s="13">
        <v>0</v>
      </c>
      <c r="K641" s="55"/>
      <c r="L641" s="32"/>
      <c r="M641" s="145" t="str">
        <f t="shared" si="14"/>
        <v/>
      </c>
    </row>
    <row r="642" spans="2:13" x14ac:dyDescent="0.35">
      <c r="B642" s="10" t="s">
        <v>184</v>
      </c>
      <c r="C642" s="13" t="s">
        <v>31</v>
      </c>
      <c r="D642" s="30">
        <v>42827</v>
      </c>
      <c r="E642" s="13">
        <v>0</v>
      </c>
      <c r="F642" s="13">
        <v>0</v>
      </c>
      <c r="G642" s="13">
        <v>1</v>
      </c>
      <c r="H642" s="13">
        <v>0</v>
      </c>
      <c r="I642" s="13">
        <v>1</v>
      </c>
      <c r="J642" s="13">
        <v>0</v>
      </c>
      <c r="K642" s="55"/>
      <c r="L642" s="32"/>
      <c r="M642" s="145" t="str">
        <f t="shared" si="14"/>
        <v/>
      </c>
    </row>
    <row r="643" spans="2:13" x14ac:dyDescent="0.35">
      <c r="B643" s="10" t="s">
        <v>157</v>
      </c>
      <c r="C643" s="13" t="s">
        <v>31</v>
      </c>
      <c r="D643" s="30">
        <v>42831</v>
      </c>
      <c r="E643" s="13">
        <v>0</v>
      </c>
      <c r="F643" s="13">
        <v>0</v>
      </c>
      <c r="G643" s="13">
        <v>1</v>
      </c>
      <c r="H643" s="13">
        <v>0</v>
      </c>
      <c r="I643" s="13">
        <v>1</v>
      </c>
      <c r="J643" s="13">
        <v>0</v>
      </c>
      <c r="K643" s="55"/>
      <c r="L643" s="32"/>
      <c r="M643" s="145" t="str">
        <f t="shared" si="14"/>
        <v/>
      </c>
    </row>
    <row r="644" spans="2:13" x14ac:dyDescent="0.35">
      <c r="B644" s="10" t="s">
        <v>981</v>
      </c>
      <c r="C644" s="13" t="s">
        <v>31</v>
      </c>
      <c r="D644" s="30">
        <v>42856</v>
      </c>
      <c r="E644" s="13">
        <v>0</v>
      </c>
      <c r="F644" s="13">
        <v>0</v>
      </c>
      <c r="G644" s="13">
        <v>1</v>
      </c>
      <c r="H644" s="13">
        <v>0</v>
      </c>
      <c r="I644" s="13">
        <v>1</v>
      </c>
      <c r="J644" s="13">
        <v>0</v>
      </c>
      <c r="K644" s="55"/>
      <c r="L644" s="32"/>
      <c r="M644" s="145" t="str">
        <f t="shared" si="14"/>
        <v/>
      </c>
    </row>
    <row r="645" spans="2:13" x14ac:dyDescent="0.35">
      <c r="B645" s="10" t="s">
        <v>982</v>
      </c>
      <c r="C645" s="13" t="s">
        <v>20</v>
      </c>
      <c r="D645" s="30">
        <v>42841</v>
      </c>
      <c r="E645" s="13">
        <v>0</v>
      </c>
      <c r="F645" s="13">
        <v>0</v>
      </c>
      <c r="G645" s="13">
        <v>1</v>
      </c>
      <c r="H645" s="13">
        <v>0</v>
      </c>
      <c r="I645" s="13">
        <v>1</v>
      </c>
      <c r="J645" s="13">
        <v>0</v>
      </c>
      <c r="K645" s="55"/>
      <c r="L645" s="32"/>
      <c r="M645" s="145" t="str">
        <f t="shared" si="14"/>
        <v/>
      </c>
    </row>
    <row r="646" spans="2:13" x14ac:dyDescent="0.35">
      <c r="B646" s="10" t="s">
        <v>983</v>
      </c>
      <c r="C646" s="13" t="s">
        <v>20</v>
      </c>
      <c r="D646" s="30">
        <v>42858</v>
      </c>
      <c r="E646" s="13">
        <v>0</v>
      </c>
      <c r="F646" s="13">
        <v>0</v>
      </c>
      <c r="G646" s="13">
        <v>1</v>
      </c>
      <c r="H646" s="13">
        <v>0</v>
      </c>
      <c r="I646" s="13">
        <v>1</v>
      </c>
      <c r="J646" s="13">
        <v>0</v>
      </c>
      <c r="K646" s="55"/>
      <c r="L646" s="32"/>
      <c r="M646" s="145" t="str">
        <f t="shared" si="14"/>
        <v/>
      </c>
    </row>
    <row r="647" spans="2:13" x14ac:dyDescent="0.35">
      <c r="B647" s="10" t="s">
        <v>984</v>
      </c>
      <c r="C647" s="13" t="s">
        <v>31</v>
      </c>
      <c r="D647" s="30">
        <v>42859</v>
      </c>
      <c r="E647" s="13">
        <v>0</v>
      </c>
      <c r="F647" s="13">
        <v>0</v>
      </c>
      <c r="G647" s="13">
        <v>1</v>
      </c>
      <c r="H647" s="13">
        <v>0</v>
      </c>
      <c r="I647" s="13">
        <v>1</v>
      </c>
      <c r="J647" s="13">
        <v>0</v>
      </c>
      <c r="K647" s="55"/>
      <c r="L647" s="32"/>
      <c r="M647" s="145" t="str">
        <f t="shared" ref="M647:M710" si="15">IF(K647="", "", K647-D647)</f>
        <v/>
      </c>
    </row>
    <row r="648" spans="2:13" x14ac:dyDescent="0.35">
      <c r="B648" s="10" t="s">
        <v>985</v>
      </c>
      <c r="C648" s="13" t="s">
        <v>31</v>
      </c>
      <c r="D648" s="30">
        <v>42905</v>
      </c>
      <c r="E648" s="13">
        <v>0</v>
      </c>
      <c r="F648" s="13">
        <v>0</v>
      </c>
      <c r="G648" s="13">
        <v>1</v>
      </c>
      <c r="H648" s="13">
        <v>0</v>
      </c>
      <c r="I648" s="13">
        <v>1</v>
      </c>
      <c r="J648" s="13">
        <v>0</v>
      </c>
      <c r="K648" s="55"/>
      <c r="L648" s="32"/>
      <c r="M648" s="145" t="str">
        <f t="shared" si="15"/>
        <v/>
      </c>
    </row>
    <row r="649" spans="2:13" x14ac:dyDescent="0.35">
      <c r="B649" s="10" t="s">
        <v>986</v>
      </c>
      <c r="C649" s="13" t="s">
        <v>20</v>
      </c>
      <c r="D649" s="30">
        <v>42828</v>
      </c>
      <c r="E649" s="13">
        <v>0</v>
      </c>
      <c r="F649" s="13">
        <v>0</v>
      </c>
      <c r="G649" s="13">
        <v>1</v>
      </c>
      <c r="H649" s="13">
        <v>0</v>
      </c>
      <c r="I649" s="13">
        <v>1</v>
      </c>
      <c r="J649" s="13">
        <v>0</v>
      </c>
      <c r="K649" s="55"/>
      <c r="L649" s="32"/>
      <c r="M649" s="145" t="str">
        <f t="shared" si="15"/>
        <v/>
      </c>
    </row>
    <row r="650" spans="2:13" x14ac:dyDescent="0.35">
      <c r="B650" s="10" t="s">
        <v>987</v>
      </c>
      <c r="C650" s="13" t="s">
        <v>20</v>
      </c>
      <c r="D650" s="30">
        <v>42831</v>
      </c>
      <c r="E650" s="13">
        <v>0</v>
      </c>
      <c r="F650" s="13">
        <v>0</v>
      </c>
      <c r="G650" s="13">
        <v>1</v>
      </c>
      <c r="H650" s="13">
        <v>0</v>
      </c>
      <c r="I650" s="13">
        <v>1</v>
      </c>
      <c r="J650" s="13">
        <v>0</v>
      </c>
      <c r="K650" s="55"/>
      <c r="L650" s="32"/>
      <c r="M650" s="145" t="str">
        <f t="shared" si="15"/>
        <v/>
      </c>
    </row>
    <row r="651" spans="2:13" x14ac:dyDescent="0.35">
      <c r="B651" s="10" t="s">
        <v>988</v>
      </c>
      <c r="C651" s="13" t="s">
        <v>20</v>
      </c>
      <c r="D651" s="30">
        <v>42913</v>
      </c>
      <c r="E651" s="13">
        <v>0</v>
      </c>
      <c r="F651" s="13">
        <v>0</v>
      </c>
      <c r="G651" s="13">
        <v>1</v>
      </c>
      <c r="H651" s="13">
        <v>0</v>
      </c>
      <c r="I651" s="13">
        <v>1</v>
      </c>
      <c r="J651" s="13">
        <v>0</v>
      </c>
      <c r="K651" s="55"/>
      <c r="L651" s="32"/>
      <c r="M651" s="145" t="str">
        <f t="shared" si="15"/>
        <v/>
      </c>
    </row>
    <row r="652" spans="2:13" x14ac:dyDescent="0.35">
      <c r="B652" s="10" t="s">
        <v>989</v>
      </c>
      <c r="C652" s="13" t="s">
        <v>20</v>
      </c>
      <c r="D652" s="30">
        <v>42870</v>
      </c>
      <c r="E652" s="13">
        <v>0</v>
      </c>
      <c r="F652" s="13">
        <v>0</v>
      </c>
      <c r="G652" s="13">
        <v>1</v>
      </c>
      <c r="H652" s="13">
        <v>0</v>
      </c>
      <c r="I652" s="13">
        <v>1</v>
      </c>
      <c r="J652" s="13">
        <v>0</v>
      </c>
      <c r="K652" s="55"/>
      <c r="L652" s="32"/>
      <c r="M652" s="145" t="str">
        <f t="shared" si="15"/>
        <v/>
      </c>
    </row>
    <row r="653" spans="2:13" x14ac:dyDescent="0.35">
      <c r="B653" s="10" t="s">
        <v>990</v>
      </c>
      <c r="C653" s="13" t="s">
        <v>20</v>
      </c>
      <c r="D653" s="30">
        <v>42897</v>
      </c>
      <c r="E653" s="13">
        <v>0</v>
      </c>
      <c r="F653" s="13">
        <v>0</v>
      </c>
      <c r="G653" s="13">
        <v>1</v>
      </c>
      <c r="H653" s="13">
        <v>0</v>
      </c>
      <c r="I653" s="13">
        <v>1</v>
      </c>
      <c r="J653" s="13">
        <v>0</v>
      </c>
      <c r="K653" s="55"/>
      <c r="L653" s="32"/>
      <c r="M653" s="145" t="str">
        <f t="shared" si="15"/>
        <v/>
      </c>
    </row>
    <row r="654" spans="2:13" x14ac:dyDescent="0.35">
      <c r="B654" s="10" t="s">
        <v>991</v>
      </c>
      <c r="C654" s="13" t="s">
        <v>20</v>
      </c>
      <c r="D654" s="30">
        <v>42904</v>
      </c>
      <c r="E654" s="13">
        <v>0</v>
      </c>
      <c r="F654" s="13">
        <v>0</v>
      </c>
      <c r="G654" s="13">
        <v>1</v>
      </c>
      <c r="H654" s="13">
        <v>0</v>
      </c>
      <c r="I654" s="13">
        <v>1</v>
      </c>
      <c r="J654" s="13">
        <v>0</v>
      </c>
      <c r="K654" s="55"/>
      <c r="L654" s="32"/>
      <c r="M654" s="145" t="str">
        <f t="shared" si="15"/>
        <v/>
      </c>
    </row>
    <row r="655" spans="2:13" x14ac:dyDescent="0.35">
      <c r="B655" s="10" t="s">
        <v>992</v>
      </c>
      <c r="C655" s="13" t="s">
        <v>31</v>
      </c>
      <c r="D655" s="30">
        <v>42827</v>
      </c>
      <c r="E655" s="13">
        <v>0</v>
      </c>
      <c r="F655" s="13">
        <v>0</v>
      </c>
      <c r="G655" s="13">
        <v>1</v>
      </c>
      <c r="H655" s="13">
        <v>0</v>
      </c>
      <c r="I655" s="13">
        <v>1</v>
      </c>
      <c r="J655" s="13">
        <v>0</v>
      </c>
      <c r="K655" s="55"/>
      <c r="L655" s="32"/>
      <c r="M655" s="145" t="str">
        <f t="shared" si="15"/>
        <v/>
      </c>
    </row>
    <row r="656" spans="2:13" x14ac:dyDescent="0.35">
      <c r="B656" s="10" t="s">
        <v>721</v>
      </c>
      <c r="C656" s="13" t="s">
        <v>20</v>
      </c>
      <c r="D656" s="30">
        <v>42892</v>
      </c>
      <c r="E656" s="13">
        <v>0</v>
      </c>
      <c r="F656" s="13">
        <v>0</v>
      </c>
      <c r="G656" s="13">
        <v>1</v>
      </c>
      <c r="H656" s="13">
        <v>0</v>
      </c>
      <c r="I656" s="13">
        <v>1</v>
      </c>
      <c r="J656" s="13">
        <v>0</v>
      </c>
      <c r="K656" s="55"/>
      <c r="L656" s="32"/>
      <c r="M656" s="145" t="str">
        <f t="shared" si="15"/>
        <v/>
      </c>
    </row>
    <row r="657" spans="2:13" x14ac:dyDescent="0.35">
      <c r="B657" s="10" t="s">
        <v>139</v>
      </c>
      <c r="C657" s="13" t="s">
        <v>20</v>
      </c>
      <c r="D657" s="30">
        <v>42902</v>
      </c>
      <c r="E657" s="13">
        <v>0</v>
      </c>
      <c r="F657" s="13">
        <v>0</v>
      </c>
      <c r="G657" s="13">
        <v>1</v>
      </c>
      <c r="H657" s="13">
        <v>0</v>
      </c>
      <c r="I657" s="13">
        <v>1</v>
      </c>
      <c r="J657" s="13">
        <v>0</v>
      </c>
      <c r="K657" s="55"/>
      <c r="L657" s="32"/>
      <c r="M657" s="145" t="str">
        <f t="shared" si="15"/>
        <v/>
      </c>
    </row>
    <row r="658" spans="2:13" x14ac:dyDescent="0.35">
      <c r="B658" s="10" t="s">
        <v>713</v>
      </c>
      <c r="C658" s="13" t="s">
        <v>20</v>
      </c>
      <c r="D658" s="30">
        <v>42893</v>
      </c>
      <c r="E658" s="13">
        <v>0</v>
      </c>
      <c r="F658" s="13">
        <v>0</v>
      </c>
      <c r="G658" s="13">
        <v>1</v>
      </c>
      <c r="H658" s="13">
        <v>0</v>
      </c>
      <c r="I658" s="13">
        <v>1</v>
      </c>
      <c r="J658" s="13">
        <v>0</v>
      </c>
      <c r="K658" s="55"/>
      <c r="L658" s="32"/>
      <c r="M658" s="145" t="str">
        <f t="shared" si="15"/>
        <v/>
      </c>
    </row>
    <row r="659" spans="2:13" x14ac:dyDescent="0.35">
      <c r="B659" s="10" t="s">
        <v>372</v>
      </c>
      <c r="C659" s="13" t="s">
        <v>31</v>
      </c>
      <c r="D659" s="30">
        <v>42871</v>
      </c>
      <c r="E659" s="13">
        <v>0</v>
      </c>
      <c r="F659" s="13">
        <v>0</v>
      </c>
      <c r="G659" s="13">
        <v>1</v>
      </c>
      <c r="H659" s="13">
        <v>0</v>
      </c>
      <c r="I659" s="13">
        <v>1</v>
      </c>
      <c r="J659" s="13">
        <v>0</v>
      </c>
      <c r="K659" s="55"/>
      <c r="L659" s="32"/>
      <c r="M659" s="145" t="str">
        <f t="shared" si="15"/>
        <v/>
      </c>
    </row>
    <row r="660" spans="2:13" x14ac:dyDescent="0.35">
      <c r="B660" s="10" t="s">
        <v>375</v>
      </c>
      <c r="C660" s="13" t="s">
        <v>20</v>
      </c>
      <c r="D660" s="30">
        <v>42853</v>
      </c>
      <c r="E660" s="13">
        <v>0</v>
      </c>
      <c r="F660" s="13">
        <v>0</v>
      </c>
      <c r="G660" s="13">
        <v>1</v>
      </c>
      <c r="H660" s="13">
        <v>0</v>
      </c>
      <c r="I660" s="13">
        <v>1</v>
      </c>
      <c r="J660" s="13">
        <v>0</v>
      </c>
      <c r="K660" s="55"/>
      <c r="L660" s="32"/>
      <c r="M660" s="145" t="str">
        <f t="shared" si="15"/>
        <v/>
      </c>
    </row>
    <row r="661" spans="2:13" x14ac:dyDescent="0.35">
      <c r="B661" s="10" t="s">
        <v>464</v>
      </c>
      <c r="C661" s="13" t="s">
        <v>20</v>
      </c>
      <c r="D661" s="30">
        <v>42826</v>
      </c>
      <c r="E661" s="13">
        <v>0</v>
      </c>
      <c r="F661" s="13">
        <v>0</v>
      </c>
      <c r="G661" s="13">
        <v>1</v>
      </c>
      <c r="H661" s="13">
        <v>0</v>
      </c>
      <c r="I661" s="13">
        <v>1</v>
      </c>
      <c r="J661" s="13">
        <v>0</v>
      </c>
      <c r="K661" s="55"/>
      <c r="L661" s="32"/>
      <c r="M661" s="145" t="str">
        <f t="shared" si="15"/>
        <v/>
      </c>
    </row>
    <row r="662" spans="2:13" x14ac:dyDescent="0.35">
      <c r="B662" s="10" t="s">
        <v>366</v>
      </c>
      <c r="C662" s="13" t="s">
        <v>20</v>
      </c>
      <c r="D662" s="30">
        <v>42828</v>
      </c>
      <c r="E662" s="13">
        <v>0</v>
      </c>
      <c r="F662" s="13">
        <v>0</v>
      </c>
      <c r="G662" s="13">
        <v>1</v>
      </c>
      <c r="H662" s="13">
        <v>0</v>
      </c>
      <c r="I662" s="13">
        <v>1</v>
      </c>
      <c r="J662" s="13">
        <v>0</v>
      </c>
      <c r="K662" s="55"/>
      <c r="L662" s="32"/>
      <c r="M662" s="145" t="str">
        <f t="shared" si="15"/>
        <v/>
      </c>
    </row>
    <row r="663" spans="2:13" x14ac:dyDescent="0.35">
      <c r="B663" s="10" t="s">
        <v>296</v>
      </c>
      <c r="C663" s="13" t="s">
        <v>20</v>
      </c>
      <c r="D663" s="30">
        <v>42848</v>
      </c>
      <c r="E663" s="13">
        <v>0</v>
      </c>
      <c r="F663" s="13">
        <v>0</v>
      </c>
      <c r="G663" s="13">
        <v>1</v>
      </c>
      <c r="H663" s="13">
        <v>0</v>
      </c>
      <c r="I663" s="13">
        <v>1</v>
      </c>
      <c r="J663" s="13">
        <v>0</v>
      </c>
      <c r="K663" s="55"/>
      <c r="L663" s="32"/>
      <c r="M663" s="145" t="str">
        <f t="shared" si="15"/>
        <v/>
      </c>
    </row>
    <row r="664" spans="2:13" x14ac:dyDescent="0.35">
      <c r="B664" s="10" t="s">
        <v>776</v>
      </c>
      <c r="C664" s="13" t="s">
        <v>31</v>
      </c>
      <c r="D664" s="30">
        <v>42857</v>
      </c>
      <c r="E664" s="13">
        <v>0</v>
      </c>
      <c r="F664" s="13">
        <v>0</v>
      </c>
      <c r="G664" s="13">
        <v>1</v>
      </c>
      <c r="H664" s="13">
        <v>0</v>
      </c>
      <c r="I664" s="13">
        <v>1</v>
      </c>
      <c r="J664" s="13">
        <v>0</v>
      </c>
      <c r="K664" s="55"/>
      <c r="L664" s="32"/>
      <c r="M664" s="145" t="str">
        <f t="shared" si="15"/>
        <v/>
      </c>
    </row>
    <row r="665" spans="2:13" x14ac:dyDescent="0.35">
      <c r="B665" s="10" t="s">
        <v>736</v>
      </c>
      <c r="C665" s="13" t="s">
        <v>31</v>
      </c>
      <c r="D665" s="30">
        <v>42826</v>
      </c>
      <c r="E665" s="13">
        <v>0</v>
      </c>
      <c r="F665" s="13">
        <v>0</v>
      </c>
      <c r="G665" s="13">
        <v>1</v>
      </c>
      <c r="H665" s="13">
        <v>0</v>
      </c>
      <c r="I665" s="13">
        <v>1</v>
      </c>
      <c r="J665" s="13">
        <v>0</v>
      </c>
      <c r="K665" s="55"/>
      <c r="L665" s="32"/>
      <c r="M665" s="145" t="str">
        <f t="shared" si="15"/>
        <v/>
      </c>
    </row>
    <row r="666" spans="2:13" x14ac:dyDescent="0.35">
      <c r="B666" s="10" t="s">
        <v>698</v>
      </c>
      <c r="C666" s="13" t="s">
        <v>31</v>
      </c>
      <c r="D666" s="30">
        <v>42886</v>
      </c>
      <c r="E666" s="13">
        <v>0</v>
      </c>
      <c r="F666" s="13">
        <v>0</v>
      </c>
      <c r="G666" s="13">
        <v>1</v>
      </c>
      <c r="H666" s="13">
        <v>0</v>
      </c>
      <c r="I666" s="13">
        <v>1</v>
      </c>
      <c r="J666" s="13">
        <v>0</v>
      </c>
      <c r="K666" s="55"/>
      <c r="L666" s="32"/>
      <c r="M666" s="145" t="str">
        <f t="shared" si="15"/>
        <v/>
      </c>
    </row>
    <row r="667" spans="2:13" x14ac:dyDescent="0.35">
      <c r="B667" s="10" t="s">
        <v>269</v>
      </c>
      <c r="C667" s="13" t="s">
        <v>31</v>
      </c>
      <c r="D667" s="30">
        <v>42905</v>
      </c>
      <c r="E667" s="13">
        <v>0</v>
      </c>
      <c r="F667" s="13">
        <v>0</v>
      </c>
      <c r="G667" s="13">
        <v>1</v>
      </c>
      <c r="H667" s="13">
        <v>0</v>
      </c>
      <c r="I667" s="13">
        <v>1</v>
      </c>
      <c r="J667" s="13">
        <v>0</v>
      </c>
      <c r="K667" s="55"/>
      <c r="L667" s="32"/>
      <c r="M667" s="145" t="str">
        <f t="shared" si="15"/>
        <v/>
      </c>
    </row>
    <row r="668" spans="2:13" x14ac:dyDescent="0.35">
      <c r="B668" s="10" t="s">
        <v>249</v>
      </c>
      <c r="C668" s="13" t="s">
        <v>20</v>
      </c>
      <c r="D668" s="30">
        <v>42826</v>
      </c>
      <c r="E668" s="13">
        <v>0</v>
      </c>
      <c r="F668" s="13">
        <v>0</v>
      </c>
      <c r="G668" s="13">
        <v>1</v>
      </c>
      <c r="H668" s="13">
        <v>0</v>
      </c>
      <c r="I668" s="13">
        <v>1</v>
      </c>
      <c r="J668" s="13">
        <v>0</v>
      </c>
      <c r="K668" s="55"/>
      <c r="L668" s="32"/>
      <c r="M668" s="145" t="str">
        <f t="shared" si="15"/>
        <v/>
      </c>
    </row>
    <row r="669" spans="2:13" x14ac:dyDescent="0.35">
      <c r="B669" s="10" t="s">
        <v>433</v>
      </c>
      <c r="C669" s="13" t="s">
        <v>31</v>
      </c>
      <c r="D669" s="30">
        <v>42868</v>
      </c>
      <c r="E669" s="13">
        <v>0</v>
      </c>
      <c r="F669" s="13">
        <v>0</v>
      </c>
      <c r="G669" s="13">
        <v>1</v>
      </c>
      <c r="H669" s="13">
        <v>0</v>
      </c>
      <c r="I669" s="13">
        <v>1</v>
      </c>
      <c r="J669" s="13">
        <v>0</v>
      </c>
      <c r="K669" s="55"/>
      <c r="L669" s="32"/>
      <c r="M669" s="145" t="str">
        <f t="shared" si="15"/>
        <v/>
      </c>
    </row>
    <row r="670" spans="2:13" x14ac:dyDescent="0.35">
      <c r="B670" s="10" t="s">
        <v>728</v>
      </c>
      <c r="C670" s="13" t="s">
        <v>20</v>
      </c>
      <c r="D670" s="30">
        <v>42896</v>
      </c>
      <c r="E670" s="13">
        <v>0</v>
      </c>
      <c r="F670" s="13">
        <v>0</v>
      </c>
      <c r="G670" s="13">
        <v>1</v>
      </c>
      <c r="H670" s="13">
        <v>0</v>
      </c>
      <c r="I670" s="13">
        <v>1</v>
      </c>
      <c r="J670" s="13">
        <v>0</v>
      </c>
      <c r="K670" s="55"/>
      <c r="L670" s="32"/>
      <c r="M670" s="145" t="str">
        <f t="shared" si="15"/>
        <v/>
      </c>
    </row>
    <row r="671" spans="2:13" x14ac:dyDescent="0.35">
      <c r="B671" s="10" t="s">
        <v>295</v>
      </c>
      <c r="C671" s="13" t="s">
        <v>20</v>
      </c>
      <c r="D671" s="30">
        <v>42904</v>
      </c>
      <c r="E671" s="13">
        <v>0</v>
      </c>
      <c r="F671" s="13">
        <v>0</v>
      </c>
      <c r="G671" s="13">
        <v>1</v>
      </c>
      <c r="H671" s="13">
        <v>0</v>
      </c>
      <c r="I671" s="13">
        <v>1</v>
      </c>
      <c r="J671" s="13">
        <v>0</v>
      </c>
      <c r="K671" s="55"/>
      <c r="L671" s="32"/>
      <c r="M671" s="145" t="str">
        <f t="shared" si="15"/>
        <v/>
      </c>
    </row>
    <row r="672" spans="2:13" x14ac:dyDescent="0.35">
      <c r="B672" s="10" t="s">
        <v>353</v>
      </c>
      <c r="C672" s="13" t="s">
        <v>20</v>
      </c>
      <c r="D672" s="30">
        <v>42883</v>
      </c>
      <c r="E672" s="13">
        <v>0</v>
      </c>
      <c r="F672" s="13">
        <v>0</v>
      </c>
      <c r="G672" s="13">
        <v>1</v>
      </c>
      <c r="H672" s="13">
        <v>0</v>
      </c>
      <c r="I672" s="13">
        <v>1</v>
      </c>
      <c r="J672" s="13">
        <v>0</v>
      </c>
      <c r="K672" s="55"/>
      <c r="L672" s="32"/>
      <c r="M672" s="145" t="str">
        <f t="shared" si="15"/>
        <v/>
      </c>
    </row>
    <row r="673" spans="2:13" x14ac:dyDescent="0.35">
      <c r="B673" s="10" t="s">
        <v>424</v>
      </c>
      <c r="C673" s="13" t="s">
        <v>20</v>
      </c>
      <c r="D673" s="30">
        <v>42883</v>
      </c>
      <c r="E673" s="13">
        <v>0</v>
      </c>
      <c r="F673" s="13">
        <v>0</v>
      </c>
      <c r="G673" s="13">
        <v>1</v>
      </c>
      <c r="H673" s="13">
        <v>0</v>
      </c>
      <c r="I673" s="13">
        <v>1</v>
      </c>
      <c r="J673" s="13">
        <v>0</v>
      </c>
      <c r="K673" s="55"/>
      <c r="L673" s="32"/>
      <c r="M673" s="145" t="str">
        <f t="shared" si="15"/>
        <v/>
      </c>
    </row>
    <row r="674" spans="2:13" x14ac:dyDescent="0.35">
      <c r="B674" s="10" t="s">
        <v>467</v>
      </c>
      <c r="C674" s="13" t="s">
        <v>31</v>
      </c>
      <c r="D674" s="30">
        <v>42863</v>
      </c>
      <c r="E674" s="13">
        <v>0</v>
      </c>
      <c r="F674" s="13">
        <v>0</v>
      </c>
      <c r="G674" s="13">
        <v>1</v>
      </c>
      <c r="H674" s="13">
        <v>0</v>
      </c>
      <c r="I674" s="13">
        <v>1</v>
      </c>
      <c r="J674" s="13">
        <v>0</v>
      </c>
      <c r="K674" s="55"/>
      <c r="L674" s="32"/>
      <c r="M674" s="145" t="str">
        <f t="shared" si="15"/>
        <v/>
      </c>
    </row>
    <row r="675" spans="2:13" x14ac:dyDescent="0.35">
      <c r="B675" s="10" t="s">
        <v>349</v>
      </c>
      <c r="C675" s="13" t="s">
        <v>20</v>
      </c>
      <c r="D675" s="30">
        <v>42835</v>
      </c>
      <c r="E675" s="13">
        <v>0</v>
      </c>
      <c r="F675" s="13">
        <v>0</v>
      </c>
      <c r="G675" s="13">
        <v>1</v>
      </c>
      <c r="H675" s="13">
        <v>0</v>
      </c>
      <c r="I675" s="13">
        <v>1</v>
      </c>
      <c r="J675" s="13">
        <v>0</v>
      </c>
      <c r="K675" s="55"/>
      <c r="L675" s="32"/>
      <c r="M675" s="145" t="str">
        <f t="shared" si="15"/>
        <v/>
      </c>
    </row>
    <row r="676" spans="2:13" x14ac:dyDescent="0.35">
      <c r="B676" s="10" t="s">
        <v>670</v>
      </c>
      <c r="C676" s="13" t="s">
        <v>20</v>
      </c>
      <c r="D676" s="30">
        <v>42837</v>
      </c>
      <c r="E676" s="13">
        <v>0</v>
      </c>
      <c r="F676" s="13">
        <v>0</v>
      </c>
      <c r="G676" s="13">
        <v>1</v>
      </c>
      <c r="H676" s="13">
        <v>0</v>
      </c>
      <c r="I676" s="13">
        <v>1</v>
      </c>
      <c r="J676" s="13">
        <v>0</v>
      </c>
      <c r="K676" s="55"/>
      <c r="L676" s="32"/>
      <c r="M676" s="145" t="str">
        <f t="shared" si="15"/>
        <v/>
      </c>
    </row>
    <row r="677" spans="2:13" x14ac:dyDescent="0.35">
      <c r="B677" s="10" t="s">
        <v>645</v>
      </c>
      <c r="C677" s="13" t="s">
        <v>31</v>
      </c>
      <c r="D677" s="30">
        <v>42914</v>
      </c>
      <c r="E677" s="13">
        <v>0</v>
      </c>
      <c r="F677" s="13">
        <v>0</v>
      </c>
      <c r="G677" s="13">
        <v>1</v>
      </c>
      <c r="H677" s="13">
        <v>0</v>
      </c>
      <c r="I677" s="13">
        <v>1</v>
      </c>
      <c r="J677" s="13">
        <v>0</v>
      </c>
      <c r="K677" s="55"/>
      <c r="L677" s="32"/>
      <c r="M677" s="145" t="str">
        <f t="shared" si="15"/>
        <v/>
      </c>
    </row>
    <row r="678" spans="2:13" x14ac:dyDescent="0.35">
      <c r="B678" s="10" t="s">
        <v>289</v>
      </c>
      <c r="C678" s="13" t="s">
        <v>20</v>
      </c>
      <c r="D678" s="30">
        <v>42910</v>
      </c>
      <c r="E678" s="13">
        <v>0</v>
      </c>
      <c r="F678" s="13">
        <v>0</v>
      </c>
      <c r="G678" s="13">
        <v>1</v>
      </c>
      <c r="H678" s="13">
        <v>0</v>
      </c>
      <c r="I678" s="13">
        <v>1</v>
      </c>
      <c r="J678" s="13">
        <v>0</v>
      </c>
      <c r="K678" s="55"/>
      <c r="L678" s="32"/>
      <c r="M678" s="145" t="str">
        <f t="shared" si="15"/>
        <v/>
      </c>
    </row>
    <row r="679" spans="2:13" x14ac:dyDescent="0.35">
      <c r="B679" s="10" t="s">
        <v>306</v>
      </c>
      <c r="C679" s="13" t="s">
        <v>20</v>
      </c>
      <c r="D679" s="30">
        <v>42907</v>
      </c>
      <c r="E679" s="13">
        <v>0</v>
      </c>
      <c r="F679" s="13">
        <v>0</v>
      </c>
      <c r="G679" s="13">
        <v>1</v>
      </c>
      <c r="H679" s="13">
        <v>0</v>
      </c>
      <c r="I679" s="13">
        <v>1</v>
      </c>
      <c r="J679" s="13">
        <v>0</v>
      </c>
      <c r="K679" s="55"/>
      <c r="L679" s="32"/>
      <c r="M679" s="145" t="str">
        <f t="shared" si="15"/>
        <v/>
      </c>
    </row>
    <row r="680" spans="2:13" x14ac:dyDescent="0.35">
      <c r="B680" s="10" t="s">
        <v>993</v>
      </c>
      <c r="C680" s="13" t="s">
        <v>31</v>
      </c>
      <c r="D680" s="30">
        <v>42896</v>
      </c>
      <c r="E680" s="13">
        <v>0</v>
      </c>
      <c r="F680" s="13">
        <v>0</v>
      </c>
      <c r="G680" s="13">
        <v>1</v>
      </c>
      <c r="H680" s="13">
        <v>0</v>
      </c>
      <c r="I680" s="13">
        <v>1</v>
      </c>
      <c r="J680" s="13">
        <v>0</v>
      </c>
      <c r="K680" s="55"/>
      <c r="L680" s="32"/>
      <c r="M680" s="145" t="str">
        <f t="shared" si="15"/>
        <v/>
      </c>
    </row>
    <row r="681" spans="2:13" x14ac:dyDescent="0.35">
      <c r="B681" s="10" t="s">
        <v>610</v>
      </c>
      <c r="C681" s="13" t="s">
        <v>20</v>
      </c>
      <c r="D681" s="30">
        <v>42895</v>
      </c>
      <c r="E681" s="13">
        <v>0</v>
      </c>
      <c r="F681" s="13">
        <v>0</v>
      </c>
      <c r="G681" s="13">
        <v>1</v>
      </c>
      <c r="H681" s="13">
        <v>0</v>
      </c>
      <c r="I681" s="13">
        <v>1</v>
      </c>
      <c r="J681" s="13">
        <v>0</v>
      </c>
      <c r="K681" s="55"/>
      <c r="L681" s="32"/>
      <c r="M681" s="145" t="str">
        <f t="shared" si="15"/>
        <v/>
      </c>
    </row>
    <row r="682" spans="2:13" x14ac:dyDescent="0.35">
      <c r="B682" s="10" t="s">
        <v>994</v>
      </c>
      <c r="C682" s="13" t="s">
        <v>20</v>
      </c>
      <c r="D682" s="30">
        <v>42894</v>
      </c>
      <c r="E682" s="13">
        <v>0</v>
      </c>
      <c r="F682" s="13">
        <v>0</v>
      </c>
      <c r="G682" s="13">
        <v>1</v>
      </c>
      <c r="H682" s="13">
        <v>0</v>
      </c>
      <c r="I682" s="13">
        <v>1</v>
      </c>
      <c r="J682" s="13">
        <v>0</v>
      </c>
      <c r="K682" s="55"/>
      <c r="L682" s="32"/>
      <c r="M682" s="145" t="str">
        <f t="shared" si="15"/>
        <v/>
      </c>
    </row>
    <row r="683" spans="2:13" x14ac:dyDescent="0.35">
      <c r="B683" s="10" t="s">
        <v>546</v>
      </c>
      <c r="C683" s="13" t="s">
        <v>31</v>
      </c>
      <c r="D683" s="30">
        <v>42913</v>
      </c>
      <c r="E683" s="13">
        <v>0</v>
      </c>
      <c r="F683" s="13">
        <v>0</v>
      </c>
      <c r="G683" s="13">
        <v>1</v>
      </c>
      <c r="H683" s="13">
        <v>0</v>
      </c>
      <c r="I683" s="13">
        <v>1</v>
      </c>
      <c r="J683" s="13">
        <v>0</v>
      </c>
      <c r="K683" s="55"/>
      <c r="L683" s="32"/>
      <c r="M683" s="145" t="str">
        <f t="shared" si="15"/>
        <v/>
      </c>
    </row>
    <row r="684" spans="2:13" x14ac:dyDescent="0.35">
      <c r="B684" s="10" t="s">
        <v>87</v>
      </c>
      <c r="C684" s="13" t="s">
        <v>31</v>
      </c>
      <c r="D684" s="30">
        <v>42842</v>
      </c>
      <c r="E684" s="13">
        <v>0</v>
      </c>
      <c r="F684" s="13">
        <v>0</v>
      </c>
      <c r="G684" s="13">
        <v>1</v>
      </c>
      <c r="H684" s="13">
        <v>0</v>
      </c>
      <c r="I684" s="13">
        <v>1</v>
      </c>
      <c r="J684" s="13">
        <v>0</v>
      </c>
      <c r="K684" s="55"/>
      <c r="L684" s="32"/>
      <c r="M684" s="145" t="str">
        <f t="shared" si="15"/>
        <v/>
      </c>
    </row>
    <row r="685" spans="2:13" x14ac:dyDescent="0.35">
      <c r="B685" s="10" t="s">
        <v>722</v>
      </c>
      <c r="C685" s="13" t="s">
        <v>20</v>
      </c>
      <c r="D685" s="30">
        <v>42833</v>
      </c>
      <c r="E685" s="13">
        <v>0</v>
      </c>
      <c r="F685" s="13">
        <v>0</v>
      </c>
      <c r="G685" s="13">
        <v>1</v>
      </c>
      <c r="H685" s="13">
        <v>0</v>
      </c>
      <c r="I685" s="13">
        <v>1</v>
      </c>
      <c r="J685" s="13">
        <v>0</v>
      </c>
      <c r="K685" s="55"/>
      <c r="L685" s="32"/>
      <c r="M685" s="145" t="str">
        <f t="shared" si="15"/>
        <v/>
      </c>
    </row>
    <row r="686" spans="2:13" x14ac:dyDescent="0.35">
      <c r="B686" s="10" t="s">
        <v>68</v>
      </c>
      <c r="C686" s="13" t="s">
        <v>20</v>
      </c>
      <c r="D686" s="30">
        <v>42855</v>
      </c>
      <c r="E686" s="13">
        <v>0</v>
      </c>
      <c r="F686" s="13">
        <v>0</v>
      </c>
      <c r="G686" s="13">
        <v>1</v>
      </c>
      <c r="H686" s="13">
        <v>0</v>
      </c>
      <c r="I686" s="13">
        <v>1</v>
      </c>
      <c r="J686" s="13">
        <v>0</v>
      </c>
      <c r="K686" s="55"/>
      <c r="L686" s="32"/>
      <c r="M686" s="145" t="str">
        <f t="shared" si="15"/>
        <v/>
      </c>
    </row>
    <row r="687" spans="2:13" x14ac:dyDescent="0.35">
      <c r="B687" s="10" t="s">
        <v>200</v>
      </c>
      <c r="C687" s="13" t="s">
        <v>31</v>
      </c>
      <c r="D687" s="30">
        <v>42881</v>
      </c>
      <c r="E687" s="13">
        <v>0</v>
      </c>
      <c r="F687" s="13">
        <v>0</v>
      </c>
      <c r="G687" s="13">
        <v>1</v>
      </c>
      <c r="H687" s="13">
        <v>0</v>
      </c>
      <c r="I687" s="13">
        <v>1</v>
      </c>
      <c r="J687" s="13">
        <v>0</v>
      </c>
      <c r="K687" s="55"/>
      <c r="L687" s="32"/>
      <c r="M687" s="145" t="str">
        <f t="shared" si="15"/>
        <v/>
      </c>
    </row>
    <row r="688" spans="2:13" x14ac:dyDescent="0.35">
      <c r="B688" s="10" t="s">
        <v>526</v>
      </c>
      <c r="C688" s="13" t="s">
        <v>20</v>
      </c>
      <c r="D688" s="30">
        <v>42893</v>
      </c>
      <c r="E688" s="13">
        <v>0</v>
      </c>
      <c r="F688" s="13">
        <v>0</v>
      </c>
      <c r="G688" s="13">
        <v>1</v>
      </c>
      <c r="H688" s="13">
        <v>0</v>
      </c>
      <c r="I688" s="13">
        <v>1</v>
      </c>
      <c r="J688" s="13">
        <v>0</v>
      </c>
      <c r="K688" s="55"/>
      <c r="L688" s="32"/>
      <c r="M688" s="145" t="str">
        <f t="shared" si="15"/>
        <v/>
      </c>
    </row>
    <row r="689" spans="2:13" x14ac:dyDescent="0.35">
      <c r="B689" s="10" t="s">
        <v>692</v>
      </c>
      <c r="C689" s="13" t="s">
        <v>20</v>
      </c>
      <c r="D689" s="30">
        <v>42910</v>
      </c>
      <c r="E689" s="13">
        <v>0</v>
      </c>
      <c r="F689" s="13">
        <v>0</v>
      </c>
      <c r="G689" s="13">
        <v>1</v>
      </c>
      <c r="H689" s="13">
        <v>0</v>
      </c>
      <c r="I689" s="13">
        <v>1</v>
      </c>
      <c r="J689" s="13">
        <v>0</v>
      </c>
      <c r="K689" s="55"/>
      <c r="L689" s="32"/>
      <c r="M689" s="145" t="str">
        <f t="shared" si="15"/>
        <v/>
      </c>
    </row>
    <row r="690" spans="2:13" x14ac:dyDescent="0.35">
      <c r="B690" s="10" t="s">
        <v>415</v>
      </c>
      <c r="C690" s="13" t="s">
        <v>31</v>
      </c>
      <c r="D690" s="30">
        <v>42913</v>
      </c>
      <c r="E690" s="13">
        <v>0</v>
      </c>
      <c r="F690" s="13">
        <v>0</v>
      </c>
      <c r="G690" s="13">
        <v>1</v>
      </c>
      <c r="H690" s="13">
        <v>0</v>
      </c>
      <c r="I690" s="13">
        <v>1</v>
      </c>
      <c r="J690" s="13">
        <v>0</v>
      </c>
      <c r="K690" s="55"/>
      <c r="L690" s="32"/>
      <c r="M690" s="145" t="str">
        <f t="shared" si="15"/>
        <v/>
      </c>
    </row>
    <row r="691" spans="2:13" x14ac:dyDescent="0.35">
      <c r="B691" s="10" t="s">
        <v>731</v>
      </c>
      <c r="C691" s="13" t="s">
        <v>20</v>
      </c>
      <c r="D691" s="30">
        <v>42865</v>
      </c>
      <c r="E691" s="13">
        <v>0</v>
      </c>
      <c r="F691" s="13">
        <v>0</v>
      </c>
      <c r="G691" s="13">
        <v>1</v>
      </c>
      <c r="H691" s="13">
        <v>0</v>
      </c>
      <c r="I691" s="13">
        <v>1</v>
      </c>
      <c r="J691" s="13">
        <v>0</v>
      </c>
      <c r="K691" s="55"/>
      <c r="L691" s="32"/>
      <c r="M691" s="145" t="str">
        <f t="shared" si="15"/>
        <v/>
      </c>
    </row>
    <row r="692" spans="2:13" x14ac:dyDescent="0.35">
      <c r="B692" s="10" t="s">
        <v>617</v>
      </c>
      <c r="C692" s="13" t="s">
        <v>31</v>
      </c>
      <c r="D692" s="30">
        <v>42827</v>
      </c>
      <c r="E692" s="13">
        <v>0</v>
      </c>
      <c r="F692" s="13">
        <v>0</v>
      </c>
      <c r="G692" s="13">
        <v>1</v>
      </c>
      <c r="H692" s="13">
        <v>0</v>
      </c>
      <c r="I692" s="13">
        <v>1</v>
      </c>
      <c r="J692" s="13">
        <v>0</v>
      </c>
      <c r="K692" s="55"/>
      <c r="L692" s="32"/>
      <c r="M692" s="145" t="str">
        <f t="shared" si="15"/>
        <v/>
      </c>
    </row>
    <row r="693" spans="2:13" x14ac:dyDescent="0.35">
      <c r="B693" s="10" t="s">
        <v>133</v>
      </c>
      <c r="C693" s="13" t="s">
        <v>31</v>
      </c>
      <c r="D693" s="30">
        <v>42853</v>
      </c>
      <c r="E693" s="13">
        <v>0</v>
      </c>
      <c r="F693" s="13">
        <v>0</v>
      </c>
      <c r="G693" s="13">
        <v>1</v>
      </c>
      <c r="H693" s="13">
        <v>0</v>
      </c>
      <c r="I693" s="13">
        <v>1</v>
      </c>
      <c r="J693" s="13">
        <v>0</v>
      </c>
      <c r="K693" s="55"/>
      <c r="L693" s="32"/>
      <c r="M693" s="145" t="str">
        <f t="shared" si="15"/>
        <v/>
      </c>
    </row>
    <row r="694" spans="2:13" x14ac:dyDescent="0.35">
      <c r="B694" s="10" t="s">
        <v>371</v>
      </c>
      <c r="C694" s="13" t="s">
        <v>20</v>
      </c>
      <c r="D694" s="30">
        <v>42870</v>
      </c>
      <c r="E694" s="13">
        <v>0</v>
      </c>
      <c r="F694" s="13">
        <v>0</v>
      </c>
      <c r="G694" s="13">
        <v>1</v>
      </c>
      <c r="H694" s="13">
        <v>0</v>
      </c>
      <c r="I694" s="13">
        <v>1</v>
      </c>
      <c r="J694" s="13">
        <v>0</v>
      </c>
      <c r="K694" s="55"/>
      <c r="L694" s="32"/>
      <c r="M694" s="145" t="str">
        <f t="shared" si="15"/>
        <v/>
      </c>
    </row>
    <row r="695" spans="2:13" x14ac:dyDescent="0.35">
      <c r="B695" s="10" t="s">
        <v>100</v>
      </c>
      <c r="C695" s="13" t="s">
        <v>31</v>
      </c>
      <c r="D695" s="30">
        <v>42857</v>
      </c>
      <c r="E695" s="13">
        <v>0</v>
      </c>
      <c r="F695" s="13">
        <v>0</v>
      </c>
      <c r="G695" s="13">
        <v>1</v>
      </c>
      <c r="H695" s="13">
        <v>0</v>
      </c>
      <c r="I695" s="13">
        <v>1</v>
      </c>
      <c r="J695" s="13">
        <v>0</v>
      </c>
      <c r="K695" s="55"/>
      <c r="L695" s="32"/>
      <c r="M695" s="145" t="str">
        <f t="shared" si="15"/>
        <v/>
      </c>
    </row>
    <row r="696" spans="2:13" x14ac:dyDescent="0.35">
      <c r="B696" s="10" t="s">
        <v>284</v>
      </c>
      <c r="C696" s="13" t="s">
        <v>31</v>
      </c>
      <c r="D696" s="30">
        <v>42890</v>
      </c>
      <c r="E696" s="13">
        <v>0</v>
      </c>
      <c r="F696" s="13">
        <v>0</v>
      </c>
      <c r="G696" s="13">
        <v>1</v>
      </c>
      <c r="H696" s="13">
        <v>0</v>
      </c>
      <c r="I696" s="13">
        <v>1</v>
      </c>
      <c r="J696" s="13">
        <v>0</v>
      </c>
      <c r="K696" s="55"/>
      <c r="L696" s="32"/>
      <c r="M696" s="145" t="str">
        <f t="shared" si="15"/>
        <v/>
      </c>
    </row>
    <row r="697" spans="2:13" x14ac:dyDescent="0.35">
      <c r="B697" s="10" t="s">
        <v>244</v>
      </c>
      <c r="C697" s="13" t="s">
        <v>20</v>
      </c>
      <c r="D697" s="30">
        <v>42907</v>
      </c>
      <c r="E697" s="13">
        <v>0</v>
      </c>
      <c r="F697" s="13">
        <v>0</v>
      </c>
      <c r="G697" s="13">
        <v>1</v>
      </c>
      <c r="H697" s="13">
        <v>0</v>
      </c>
      <c r="I697" s="13">
        <v>1</v>
      </c>
      <c r="J697" s="13">
        <v>0</v>
      </c>
      <c r="K697" s="55"/>
      <c r="L697" s="32"/>
      <c r="M697" s="145" t="str">
        <f t="shared" si="15"/>
        <v/>
      </c>
    </row>
    <row r="698" spans="2:13" x14ac:dyDescent="0.35">
      <c r="B698" s="10" t="s">
        <v>437</v>
      </c>
      <c r="C698" s="13" t="s">
        <v>31</v>
      </c>
      <c r="D698" s="30">
        <v>42878</v>
      </c>
      <c r="E698" s="13">
        <v>0</v>
      </c>
      <c r="F698" s="13">
        <v>0</v>
      </c>
      <c r="G698" s="13">
        <v>1</v>
      </c>
      <c r="H698" s="13">
        <v>0</v>
      </c>
      <c r="I698" s="13">
        <v>1</v>
      </c>
      <c r="J698" s="13">
        <v>0</v>
      </c>
      <c r="K698" s="55"/>
      <c r="L698" s="32"/>
      <c r="M698" s="145" t="str">
        <f t="shared" si="15"/>
        <v/>
      </c>
    </row>
    <row r="699" spans="2:13" x14ac:dyDescent="0.35">
      <c r="B699" s="10" t="s">
        <v>428</v>
      </c>
      <c r="C699" s="13" t="s">
        <v>20</v>
      </c>
      <c r="D699" s="30">
        <v>42856</v>
      </c>
      <c r="E699" s="13">
        <v>0</v>
      </c>
      <c r="F699" s="13">
        <v>0</v>
      </c>
      <c r="G699" s="13">
        <v>1</v>
      </c>
      <c r="H699" s="13">
        <v>0</v>
      </c>
      <c r="I699" s="13">
        <v>1</v>
      </c>
      <c r="J699" s="13">
        <v>0</v>
      </c>
      <c r="K699" s="55"/>
      <c r="L699" s="32"/>
      <c r="M699" s="145" t="str">
        <f t="shared" si="15"/>
        <v/>
      </c>
    </row>
    <row r="700" spans="2:13" x14ac:dyDescent="0.35">
      <c r="B700" s="10" t="s">
        <v>763</v>
      </c>
      <c r="C700" s="13" t="s">
        <v>20</v>
      </c>
      <c r="D700" s="30">
        <v>42839</v>
      </c>
      <c r="E700" s="13">
        <v>0</v>
      </c>
      <c r="F700" s="13">
        <v>0</v>
      </c>
      <c r="G700" s="13">
        <v>1</v>
      </c>
      <c r="H700" s="13">
        <v>0</v>
      </c>
      <c r="I700" s="13">
        <v>1</v>
      </c>
      <c r="J700" s="13">
        <v>0</v>
      </c>
      <c r="K700" s="55"/>
      <c r="L700" s="32"/>
      <c r="M700" s="145" t="str">
        <f t="shared" si="15"/>
        <v/>
      </c>
    </row>
    <row r="701" spans="2:13" x14ac:dyDescent="0.35">
      <c r="B701" s="10" t="s">
        <v>351</v>
      </c>
      <c r="C701" s="13" t="s">
        <v>31</v>
      </c>
      <c r="D701" s="30">
        <v>42833</v>
      </c>
      <c r="E701" s="13">
        <v>0</v>
      </c>
      <c r="F701" s="13">
        <v>0</v>
      </c>
      <c r="G701" s="13">
        <v>1</v>
      </c>
      <c r="H701" s="13">
        <v>0</v>
      </c>
      <c r="I701" s="13">
        <v>1</v>
      </c>
      <c r="J701" s="13">
        <v>0</v>
      </c>
      <c r="K701" s="55"/>
      <c r="L701" s="32"/>
      <c r="M701" s="145" t="str">
        <f t="shared" si="15"/>
        <v/>
      </c>
    </row>
    <row r="702" spans="2:13" x14ac:dyDescent="0.35">
      <c r="B702" s="10" t="s">
        <v>747</v>
      </c>
      <c r="C702" s="13" t="s">
        <v>20</v>
      </c>
      <c r="D702" s="30">
        <v>42870</v>
      </c>
      <c r="E702" s="13">
        <v>0</v>
      </c>
      <c r="F702" s="13">
        <v>0</v>
      </c>
      <c r="G702" s="13">
        <v>1</v>
      </c>
      <c r="H702" s="13">
        <v>0</v>
      </c>
      <c r="I702" s="13">
        <v>1</v>
      </c>
      <c r="J702" s="13">
        <v>0</v>
      </c>
      <c r="K702" s="55"/>
      <c r="L702" s="32"/>
      <c r="M702" s="145" t="str">
        <f t="shared" si="15"/>
        <v/>
      </c>
    </row>
    <row r="703" spans="2:13" x14ac:dyDescent="0.35">
      <c r="B703" s="10" t="s">
        <v>446</v>
      </c>
      <c r="C703" s="13" t="s">
        <v>20</v>
      </c>
      <c r="D703" s="30">
        <v>42848</v>
      </c>
      <c r="E703" s="13">
        <v>0</v>
      </c>
      <c r="F703" s="13">
        <v>0</v>
      </c>
      <c r="G703" s="13">
        <v>1</v>
      </c>
      <c r="H703" s="13">
        <v>0</v>
      </c>
      <c r="I703" s="13">
        <v>1</v>
      </c>
      <c r="J703" s="13">
        <v>0</v>
      </c>
      <c r="K703" s="55"/>
      <c r="L703" s="32"/>
      <c r="M703" s="145" t="str">
        <f t="shared" si="15"/>
        <v/>
      </c>
    </row>
    <row r="704" spans="2:13" x14ac:dyDescent="0.35">
      <c r="B704" s="10" t="s">
        <v>304</v>
      </c>
      <c r="C704" s="13" t="s">
        <v>31</v>
      </c>
      <c r="D704" s="30">
        <v>42836</v>
      </c>
      <c r="E704" s="13">
        <v>0</v>
      </c>
      <c r="F704" s="13">
        <v>0</v>
      </c>
      <c r="G704" s="13">
        <v>1</v>
      </c>
      <c r="H704" s="13">
        <v>0</v>
      </c>
      <c r="I704" s="13">
        <v>1</v>
      </c>
      <c r="J704" s="13">
        <v>0</v>
      </c>
      <c r="K704" s="55"/>
      <c r="L704" s="32"/>
      <c r="M704" s="145" t="str">
        <f t="shared" si="15"/>
        <v/>
      </c>
    </row>
    <row r="705" spans="2:13" x14ac:dyDescent="0.35">
      <c r="B705" s="10" t="s">
        <v>201</v>
      </c>
      <c r="C705" s="13" t="s">
        <v>31</v>
      </c>
      <c r="D705" s="30">
        <v>42846</v>
      </c>
      <c r="E705" s="13">
        <v>0</v>
      </c>
      <c r="F705" s="13">
        <v>0</v>
      </c>
      <c r="G705" s="13">
        <v>1</v>
      </c>
      <c r="H705" s="13">
        <v>0</v>
      </c>
      <c r="I705" s="13">
        <v>1</v>
      </c>
      <c r="J705" s="13">
        <v>0</v>
      </c>
      <c r="K705" s="55"/>
      <c r="L705" s="32"/>
      <c r="M705" s="145" t="str">
        <f t="shared" si="15"/>
        <v/>
      </c>
    </row>
    <row r="706" spans="2:13" x14ac:dyDescent="0.35">
      <c r="B706" s="10" t="s">
        <v>394</v>
      </c>
      <c r="C706" s="13" t="s">
        <v>20</v>
      </c>
      <c r="D706" s="30">
        <v>42853</v>
      </c>
      <c r="E706" s="13">
        <v>0</v>
      </c>
      <c r="F706" s="13">
        <v>0</v>
      </c>
      <c r="G706" s="13">
        <v>1</v>
      </c>
      <c r="H706" s="13">
        <v>0</v>
      </c>
      <c r="I706" s="13">
        <v>1</v>
      </c>
      <c r="J706" s="13">
        <v>0</v>
      </c>
      <c r="K706" s="55"/>
      <c r="L706" s="32"/>
      <c r="M706" s="145" t="str">
        <f t="shared" si="15"/>
        <v/>
      </c>
    </row>
    <row r="707" spans="2:13" x14ac:dyDescent="0.35">
      <c r="B707" s="10" t="s">
        <v>488</v>
      </c>
      <c r="C707" s="13" t="s">
        <v>31</v>
      </c>
      <c r="D707" s="30">
        <v>42896</v>
      </c>
      <c r="E707" s="13">
        <v>0</v>
      </c>
      <c r="F707" s="13">
        <v>0</v>
      </c>
      <c r="G707" s="13">
        <v>1</v>
      </c>
      <c r="H707" s="13">
        <v>0</v>
      </c>
      <c r="I707" s="13">
        <v>1</v>
      </c>
      <c r="J707" s="13">
        <v>0</v>
      </c>
      <c r="K707" s="55"/>
      <c r="L707" s="32"/>
      <c r="M707" s="145" t="str">
        <f t="shared" si="15"/>
        <v/>
      </c>
    </row>
    <row r="708" spans="2:13" x14ac:dyDescent="0.35">
      <c r="B708" s="10" t="s">
        <v>218</v>
      </c>
      <c r="C708" s="13" t="s">
        <v>31</v>
      </c>
      <c r="D708" s="30">
        <v>42851</v>
      </c>
      <c r="E708" s="13">
        <v>0</v>
      </c>
      <c r="F708" s="13">
        <v>0</v>
      </c>
      <c r="G708" s="13">
        <v>1</v>
      </c>
      <c r="H708" s="13">
        <v>0</v>
      </c>
      <c r="I708" s="13">
        <v>1</v>
      </c>
      <c r="J708" s="13">
        <v>0</v>
      </c>
      <c r="K708" s="55"/>
      <c r="L708" s="32"/>
      <c r="M708" s="145" t="str">
        <f t="shared" si="15"/>
        <v/>
      </c>
    </row>
    <row r="709" spans="2:13" x14ac:dyDescent="0.35">
      <c r="B709" s="10" t="s">
        <v>752</v>
      </c>
      <c r="C709" s="13" t="s">
        <v>20</v>
      </c>
      <c r="D709" s="30">
        <v>42846</v>
      </c>
      <c r="E709" s="13">
        <v>0</v>
      </c>
      <c r="F709" s="13">
        <v>0</v>
      </c>
      <c r="G709" s="13">
        <v>1</v>
      </c>
      <c r="H709" s="13">
        <v>0</v>
      </c>
      <c r="I709" s="13">
        <v>1</v>
      </c>
      <c r="J709" s="13">
        <v>0</v>
      </c>
      <c r="K709" s="55"/>
      <c r="L709" s="32"/>
      <c r="M709" s="145" t="str">
        <f t="shared" si="15"/>
        <v/>
      </c>
    </row>
    <row r="710" spans="2:13" x14ac:dyDescent="0.35">
      <c r="B710" s="10" t="s">
        <v>426</v>
      </c>
      <c r="C710" s="13" t="s">
        <v>20</v>
      </c>
      <c r="D710" s="30">
        <v>42912</v>
      </c>
      <c r="E710" s="13">
        <v>0</v>
      </c>
      <c r="F710" s="13">
        <v>0</v>
      </c>
      <c r="G710" s="13">
        <v>1</v>
      </c>
      <c r="H710" s="13">
        <v>0</v>
      </c>
      <c r="I710" s="13">
        <v>1</v>
      </c>
      <c r="J710" s="13">
        <v>0</v>
      </c>
      <c r="K710" s="55"/>
      <c r="L710" s="32"/>
      <c r="M710" s="145" t="str">
        <f t="shared" si="15"/>
        <v/>
      </c>
    </row>
    <row r="711" spans="2:13" x14ac:dyDescent="0.35">
      <c r="B711" s="10" t="s">
        <v>322</v>
      </c>
      <c r="C711" s="13" t="s">
        <v>31</v>
      </c>
      <c r="D711" s="30">
        <v>42852</v>
      </c>
      <c r="E711" s="13">
        <v>0</v>
      </c>
      <c r="F711" s="13">
        <v>0</v>
      </c>
      <c r="G711" s="13">
        <v>1</v>
      </c>
      <c r="H711" s="13">
        <v>0</v>
      </c>
      <c r="I711" s="13">
        <v>1</v>
      </c>
      <c r="J711" s="13">
        <v>0</v>
      </c>
      <c r="K711" s="55"/>
      <c r="L711" s="32"/>
      <c r="M711" s="145" t="str">
        <f t="shared" ref="M711:M774" si="16">IF(K711="", "", K711-D711)</f>
        <v/>
      </c>
    </row>
    <row r="712" spans="2:13" x14ac:dyDescent="0.35">
      <c r="B712" s="10" t="s">
        <v>210</v>
      </c>
      <c r="C712" s="13" t="s">
        <v>20</v>
      </c>
      <c r="D712" s="30">
        <v>42834</v>
      </c>
      <c r="E712" s="13">
        <v>0</v>
      </c>
      <c r="F712" s="13">
        <v>0</v>
      </c>
      <c r="G712" s="13">
        <v>1</v>
      </c>
      <c r="H712" s="13">
        <v>0</v>
      </c>
      <c r="I712" s="13">
        <v>1</v>
      </c>
      <c r="J712" s="13">
        <v>0</v>
      </c>
      <c r="K712" s="55"/>
      <c r="L712" s="32"/>
      <c r="M712" s="145" t="str">
        <f t="shared" si="16"/>
        <v/>
      </c>
    </row>
    <row r="713" spans="2:13" x14ac:dyDescent="0.35">
      <c r="B713" s="10" t="s">
        <v>749</v>
      </c>
      <c r="C713" s="13" t="s">
        <v>20</v>
      </c>
      <c r="D713" s="30">
        <v>42860</v>
      </c>
      <c r="E713" s="13">
        <v>0</v>
      </c>
      <c r="F713" s="13">
        <v>0</v>
      </c>
      <c r="G713" s="13">
        <v>1</v>
      </c>
      <c r="H713" s="13">
        <v>0</v>
      </c>
      <c r="I713" s="13">
        <v>1</v>
      </c>
      <c r="J713" s="13">
        <v>0</v>
      </c>
      <c r="K713" s="55"/>
      <c r="L713" s="32"/>
      <c r="M713" s="145" t="str">
        <f t="shared" si="16"/>
        <v/>
      </c>
    </row>
    <row r="714" spans="2:13" x14ac:dyDescent="0.35">
      <c r="B714" s="10" t="s">
        <v>405</v>
      </c>
      <c r="C714" s="13" t="s">
        <v>31</v>
      </c>
      <c r="D714" s="30">
        <v>42863</v>
      </c>
      <c r="E714" s="13">
        <v>0</v>
      </c>
      <c r="F714" s="13">
        <v>0</v>
      </c>
      <c r="G714" s="13">
        <v>1</v>
      </c>
      <c r="H714" s="13">
        <v>0</v>
      </c>
      <c r="I714" s="13">
        <v>1</v>
      </c>
      <c r="J714" s="13">
        <v>0</v>
      </c>
      <c r="K714" s="55"/>
      <c r="L714" s="32"/>
      <c r="M714" s="145" t="str">
        <f t="shared" si="16"/>
        <v/>
      </c>
    </row>
    <row r="715" spans="2:13" x14ac:dyDescent="0.35">
      <c r="B715" s="10" t="s">
        <v>130</v>
      </c>
      <c r="C715" s="13" t="s">
        <v>31</v>
      </c>
      <c r="D715" s="30">
        <v>42916</v>
      </c>
      <c r="E715" s="13">
        <v>0</v>
      </c>
      <c r="F715" s="13">
        <v>0</v>
      </c>
      <c r="G715" s="13">
        <v>1</v>
      </c>
      <c r="H715" s="13">
        <v>0</v>
      </c>
      <c r="I715" s="13">
        <v>1</v>
      </c>
      <c r="J715" s="13">
        <v>0</v>
      </c>
      <c r="K715" s="55"/>
      <c r="L715" s="32"/>
      <c r="M715" s="145" t="str">
        <f t="shared" si="16"/>
        <v/>
      </c>
    </row>
    <row r="716" spans="2:13" x14ac:dyDescent="0.35">
      <c r="B716" s="10" t="s">
        <v>474</v>
      </c>
      <c r="C716" s="13" t="s">
        <v>31</v>
      </c>
      <c r="D716" s="30">
        <v>42831</v>
      </c>
      <c r="E716" s="13">
        <v>0</v>
      </c>
      <c r="F716" s="13">
        <v>0</v>
      </c>
      <c r="G716" s="13">
        <v>1</v>
      </c>
      <c r="H716" s="13">
        <v>0</v>
      </c>
      <c r="I716" s="13">
        <v>1</v>
      </c>
      <c r="J716" s="13">
        <v>0</v>
      </c>
      <c r="K716" s="55"/>
      <c r="L716" s="32"/>
      <c r="M716" s="145" t="str">
        <f t="shared" si="16"/>
        <v/>
      </c>
    </row>
    <row r="717" spans="2:13" x14ac:dyDescent="0.35">
      <c r="B717" s="10" t="s">
        <v>751</v>
      </c>
      <c r="C717" s="13" t="s">
        <v>31</v>
      </c>
      <c r="D717" s="30">
        <v>42837</v>
      </c>
      <c r="E717" s="13">
        <v>0</v>
      </c>
      <c r="F717" s="13">
        <v>0</v>
      </c>
      <c r="G717" s="13">
        <v>1</v>
      </c>
      <c r="H717" s="13">
        <v>0</v>
      </c>
      <c r="I717" s="13">
        <v>1</v>
      </c>
      <c r="J717" s="13">
        <v>0</v>
      </c>
      <c r="K717" s="55"/>
      <c r="L717" s="32"/>
      <c r="M717" s="145" t="str">
        <f t="shared" si="16"/>
        <v/>
      </c>
    </row>
    <row r="718" spans="2:13" x14ac:dyDescent="0.35">
      <c r="B718" s="10" t="s">
        <v>535</v>
      </c>
      <c r="C718" s="13" t="s">
        <v>31</v>
      </c>
      <c r="D718" s="30">
        <v>42875</v>
      </c>
      <c r="E718" s="13">
        <v>0</v>
      </c>
      <c r="F718" s="13">
        <v>0</v>
      </c>
      <c r="G718" s="13">
        <v>1</v>
      </c>
      <c r="H718" s="13">
        <v>0</v>
      </c>
      <c r="I718" s="13">
        <v>1</v>
      </c>
      <c r="J718" s="13">
        <v>0</v>
      </c>
      <c r="K718" s="55"/>
      <c r="L718" s="32"/>
      <c r="M718" s="145" t="str">
        <f t="shared" si="16"/>
        <v/>
      </c>
    </row>
    <row r="719" spans="2:13" x14ac:dyDescent="0.35">
      <c r="B719" s="10" t="s">
        <v>179</v>
      </c>
      <c r="C719" s="13" t="s">
        <v>31</v>
      </c>
      <c r="D719" s="30">
        <v>42863</v>
      </c>
      <c r="E719" s="13">
        <v>0</v>
      </c>
      <c r="F719" s="13">
        <v>0</v>
      </c>
      <c r="G719" s="13">
        <v>1</v>
      </c>
      <c r="H719" s="13">
        <v>0</v>
      </c>
      <c r="I719" s="13">
        <v>1</v>
      </c>
      <c r="J719" s="13">
        <v>0</v>
      </c>
      <c r="K719" s="55"/>
      <c r="L719" s="32"/>
      <c r="M719" s="145" t="str">
        <f t="shared" si="16"/>
        <v/>
      </c>
    </row>
    <row r="720" spans="2:13" x14ac:dyDescent="0.35">
      <c r="B720" s="10" t="s">
        <v>500</v>
      </c>
      <c r="C720" s="13" t="s">
        <v>31</v>
      </c>
      <c r="D720" s="30">
        <v>42916</v>
      </c>
      <c r="E720" s="13">
        <v>0</v>
      </c>
      <c r="F720" s="13">
        <v>0</v>
      </c>
      <c r="G720" s="13">
        <v>1</v>
      </c>
      <c r="H720" s="13">
        <v>0</v>
      </c>
      <c r="I720" s="13">
        <v>1</v>
      </c>
      <c r="J720" s="13">
        <v>0</v>
      </c>
      <c r="K720" s="55"/>
      <c r="L720" s="32"/>
      <c r="M720" s="145" t="str">
        <f t="shared" si="16"/>
        <v/>
      </c>
    </row>
    <row r="721" spans="2:13" x14ac:dyDescent="0.35">
      <c r="B721" s="10" t="s">
        <v>137</v>
      </c>
      <c r="C721" s="13" t="s">
        <v>31</v>
      </c>
      <c r="D721" s="30">
        <v>42886</v>
      </c>
      <c r="E721" s="13">
        <v>0</v>
      </c>
      <c r="F721" s="13">
        <v>0</v>
      </c>
      <c r="G721" s="13">
        <v>1</v>
      </c>
      <c r="H721" s="13">
        <v>0</v>
      </c>
      <c r="I721" s="13">
        <v>1</v>
      </c>
      <c r="J721" s="13">
        <v>0</v>
      </c>
      <c r="K721" s="55"/>
      <c r="L721" s="32"/>
      <c r="M721" s="145" t="str">
        <f t="shared" si="16"/>
        <v/>
      </c>
    </row>
    <row r="722" spans="2:13" x14ac:dyDescent="0.35">
      <c r="B722" s="10" t="s">
        <v>55</v>
      </c>
      <c r="C722" s="13" t="s">
        <v>20</v>
      </c>
      <c r="D722" s="30">
        <v>42903</v>
      </c>
      <c r="E722" s="13">
        <v>0</v>
      </c>
      <c r="F722" s="13">
        <v>0</v>
      </c>
      <c r="G722" s="13">
        <v>1</v>
      </c>
      <c r="H722" s="13">
        <v>0</v>
      </c>
      <c r="I722" s="13">
        <v>1</v>
      </c>
      <c r="J722" s="13">
        <v>0</v>
      </c>
      <c r="K722" s="55"/>
      <c r="L722" s="32"/>
      <c r="M722" s="145" t="str">
        <f t="shared" si="16"/>
        <v/>
      </c>
    </row>
    <row r="723" spans="2:13" x14ac:dyDescent="0.35">
      <c r="B723" s="10" t="s">
        <v>364</v>
      </c>
      <c r="C723" s="13" t="s">
        <v>31</v>
      </c>
      <c r="D723" s="30">
        <v>42892</v>
      </c>
      <c r="E723" s="13">
        <v>0</v>
      </c>
      <c r="F723" s="13">
        <v>0</v>
      </c>
      <c r="G723" s="13">
        <v>1</v>
      </c>
      <c r="H723" s="13">
        <v>0</v>
      </c>
      <c r="I723" s="13">
        <v>1</v>
      </c>
      <c r="J723" s="13">
        <v>0</v>
      </c>
      <c r="K723" s="55"/>
      <c r="L723" s="32"/>
      <c r="M723" s="145" t="str">
        <f t="shared" si="16"/>
        <v/>
      </c>
    </row>
    <row r="724" spans="2:13" x14ac:dyDescent="0.35">
      <c r="B724" s="10" t="s">
        <v>330</v>
      </c>
      <c r="C724" s="13" t="s">
        <v>20</v>
      </c>
      <c r="D724" s="30">
        <v>42836</v>
      </c>
      <c r="E724" s="13">
        <v>0</v>
      </c>
      <c r="F724" s="13">
        <v>0</v>
      </c>
      <c r="G724" s="13">
        <v>1</v>
      </c>
      <c r="H724" s="13">
        <v>0</v>
      </c>
      <c r="I724" s="13">
        <v>1</v>
      </c>
      <c r="J724" s="13">
        <v>0</v>
      </c>
      <c r="K724" s="55"/>
      <c r="L724" s="32"/>
      <c r="M724" s="145" t="str">
        <f t="shared" si="16"/>
        <v/>
      </c>
    </row>
    <row r="725" spans="2:13" x14ac:dyDescent="0.35">
      <c r="B725" s="10" t="s">
        <v>346</v>
      </c>
      <c r="C725" s="13" t="s">
        <v>20</v>
      </c>
      <c r="D725" s="30">
        <v>42851</v>
      </c>
      <c r="E725" s="13">
        <v>0</v>
      </c>
      <c r="F725" s="13">
        <v>0</v>
      </c>
      <c r="G725" s="13">
        <v>1</v>
      </c>
      <c r="H725" s="13">
        <v>0</v>
      </c>
      <c r="I725" s="13">
        <v>1</v>
      </c>
      <c r="J725" s="13">
        <v>0</v>
      </c>
      <c r="K725" s="55"/>
      <c r="L725" s="32"/>
      <c r="M725" s="145" t="str">
        <f t="shared" si="16"/>
        <v/>
      </c>
    </row>
    <row r="726" spans="2:13" x14ac:dyDescent="0.35">
      <c r="B726" s="10" t="s">
        <v>480</v>
      </c>
      <c r="C726" s="13" t="s">
        <v>31</v>
      </c>
      <c r="D726" s="30">
        <v>42847</v>
      </c>
      <c r="E726" s="13">
        <v>0</v>
      </c>
      <c r="F726" s="13">
        <v>0</v>
      </c>
      <c r="G726" s="13">
        <v>1</v>
      </c>
      <c r="H726" s="13">
        <v>0</v>
      </c>
      <c r="I726" s="13">
        <v>1</v>
      </c>
      <c r="J726" s="13">
        <v>0</v>
      </c>
      <c r="K726" s="55"/>
      <c r="L726" s="32"/>
      <c r="M726" s="145" t="str">
        <f t="shared" si="16"/>
        <v/>
      </c>
    </row>
    <row r="727" spans="2:13" x14ac:dyDescent="0.35">
      <c r="B727" s="10" t="s">
        <v>83</v>
      </c>
      <c r="C727" s="13" t="s">
        <v>20</v>
      </c>
      <c r="D727" s="30">
        <v>42832</v>
      </c>
      <c r="E727" s="13">
        <v>0</v>
      </c>
      <c r="F727" s="13">
        <v>0</v>
      </c>
      <c r="G727" s="13">
        <v>1</v>
      </c>
      <c r="H727" s="13">
        <v>0</v>
      </c>
      <c r="I727" s="13">
        <v>1</v>
      </c>
      <c r="J727" s="13">
        <v>0</v>
      </c>
      <c r="K727" s="55"/>
      <c r="L727" s="32"/>
      <c r="M727" s="145" t="str">
        <f t="shared" si="16"/>
        <v/>
      </c>
    </row>
    <row r="728" spans="2:13" x14ac:dyDescent="0.35">
      <c r="B728" s="10" t="s">
        <v>298</v>
      </c>
      <c r="C728" s="13" t="s">
        <v>31</v>
      </c>
      <c r="D728" s="30">
        <v>42891</v>
      </c>
      <c r="E728" s="13">
        <v>0</v>
      </c>
      <c r="F728" s="13">
        <v>0</v>
      </c>
      <c r="G728" s="13">
        <v>1</v>
      </c>
      <c r="H728" s="13">
        <v>0</v>
      </c>
      <c r="I728" s="13">
        <v>1</v>
      </c>
      <c r="J728" s="13">
        <v>0</v>
      </c>
      <c r="K728" s="55"/>
      <c r="L728" s="32"/>
      <c r="M728" s="145" t="str">
        <f t="shared" si="16"/>
        <v/>
      </c>
    </row>
    <row r="729" spans="2:13" x14ac:dyDescent="0.35">
      <c r="B729" s="10" t="s">
        <v>599</v>
      </c>
      <c r="C729" s="13" t="s">
        <v>20</v>
      </c>
      <c r="D729" s="30">
        <v>42844</v>
      </c>
      <c r="E729" s="13">
        <v>0</v>
      </c>
      <c r="F729" s="13">
        <v>0</v>
      </c>
      <c r="G729" s="13">
        <v>1</v>
      </c>
      <c r="H729" s="13">
        <v>0</v>
      </c>
      <c r="I729" s="13">
        <v>1</v>
      </c>
      <c r="J729" s="13">
        <v>0</v>
      </c>
      <c r="K729" s="55"/>
      <c r="L729" s="32"/>
      <c r="M729" s="145" t="str">
        <f t="shared" si="16"/>
        <v/>
      </c>
    </row>
    <row r="730" spans="2:13" x14ac:dyDescent="0.35">
      <c r="B730" s="10" t="s">
        <v>393</v>
      </c>
      <c r="C730" s="13" t="s">
        <v>31</v>
      </c>
      <c r="D730" s="30">
        <v>42827</v>
      </c>
      <c r="E730" s="13">
        <v>0</v>
      </c>
      <c r="F730" s="13">
        <v>0</v>
      </c>
      <c r="G730" s="13">
        <v>1</v>
      </c>
      <c r="H730" s="13">
        <v>0</v>
      </c>
      <c r="I730" s="13">
        <v>1</v>
      </c>
      <c r="J730" s="13">
        <v>0</v>
      </c>
      <c r="K730" s="55"/>
      <c r="L730" s="32"/>
      <c r="M730" s="145" t="str">
        <f t="shared" si="16"/>
        <v/>
      </c>
    </row>
    <row r="731" spans="2:13" x14ac:dyDescent="0.35">
      <c r="B731" s="10" t="s">
        <v>403</v>
      </c>
      <c r="C731" s="13" t="s">
        <v>20</v>
      </c>
      <c r="D731" s="30">
        <v>42872</v>
      </c>
      <c r="E731" s="13">
        <v>0</v>
      </c>
      <c r="F731" s="13">
        <v>0</v>
      </c>
      <c r="G731" s="13">
        <v>1</v>
      </c>
      <c r="H731" s="13">
        <v>0</v>
      </c>
      <c r="I731" s="13">
        <v>1</v>
      </c>
      <c r="J731" s="13">
        <v>0</v>
      </c>
      <c r="K731" s="55"/>
      <c r="L731" s="32"/>
      <c r="M731" s="145" t="str">
        <f t="shared" si="16"/>
        <v/>
      </c>
    </row>
    <row r="732" spans="2:13" x14ac:dyDescent="0.35">
      <c r="B732" s="10" t="s">
        <v>397</v>
      </c>
      <c r="C732" s="13" t="s">
        <v>31</v>
      </c>
      <c r="D732" s="30">
        <v>42870</v>
      </c>
      <c r="E732" s="13">
        <v>0</v>
      </c>
      <c r="F732" s="13">
        <v>0</v>
      </c>
      <c r="G732" s="13">
        <v>1</v>
      </c>
      <c r="H732" s="13">
        <v>0</v>
      </c>
      <c r="I732" s="13">
        <v>1</v>
      </c>
      <c r="J732" s="13">
        <v>0</v>
      </c>
      <c r="K732" s="55"/>
      <c r="L732" s="32"/>
      <c r="M732" s="145" t="str">
        <f t="shared" si="16"/>
        <v/>
      </c>
    </row>
    <row r="733" spans="2:13" x14ac:dyDescent="0.35">
      <c r="B733" s="10" t="s">
        <v>750</v>
      </c>
      <c r="C733" s="13" t="s">
        <v>31</v>
      </c>
      <c r="D733" s="30">
        <v>42844</v>
      </c>
      <c r="E733" s="13">
        <v>0</v>
      </c>
      <c r="F733" s="13">
        <v>0</v>
      </c>
      <c r="G733" s="13">
        <v>1</v>
      </c>
      <c r="H733" s="13">
        <v>0</v>
      </c>
      <c r="I733" s="13">
        <v>1</v>
      </c>
      <c r="J733" s="13">
        <v>0</v>
      </c>
      <c r="K733" s="55"/>
      <c r="L733" s="32"/>
      <c r="M733" s="145" t="str">
        <f t="shared" si="16"/>
        <v/>
      </c>
    </row>
    <row r="734" spans="2:13" x14ac:dyDescent="0.35">
      <c r="B734" s="10" t="s">
        <v>191</v>
      </c>
      <c r="C734" s="13" t="s">
        <v>20</v>
      </c>
      <c r="D734" s="30">
        <v>42911</v>
      </c>
      <c r="E734" s="13">
        <v>0</v>
      </c>
      <c r="F734" s="13">
        <v>0</v>
      </c>
      <c r="G734" s="13">
        <v>1</v>
      </c>
      <c r="H734" s="13">
        <v>0</v>
      </c>
      <c r="I734" s="13">
        <v>1</v>
      </c>
      <c r="J734" s="13">
        <v>0</v>
      </c>
      <c r="K734" s="55"/>
      <c r="L734" s="32"/>
      <c r="M734" s="145" t="str">
        <f t="shared" si="16"/>
        <v/>
      </c>
    </row>
    <row r="735" spans="2:13" x14ac:dyDescent="0.35">
      <c r="B735" s="10" t="s">
        <v>675</v>
      </c>
      <c r="C735" s="13" t="s">
        <v>31</v>
      </c>
      <c r="D735" s="30">
        <v>42841</v>
      </c>
      <c r="E735" s="13">
        <v>0</v>
      </c>
      <c r="F735" s="13">
        <v>0</v>
      </c>
      <c r="G735" s="13">
        <v>1</v>
      </c>
      <c r="H735" s="13">
        <v>0</v>
      </c>
      <c r="I735" s="13">
        <v>1</v>
      </c>
      <c r="J735" s="13">
        <v>0</v>
      </c>
      <c r="K735" s="55"/>
      <c r="L735" s="32"/>
      <c r="M735" s="145" t="str">
        <f t="shared" si="16"/>
        <v/>
      </c>
    </row>
    <row r="736" spans="2:13" x14ac:dyDescent="0.35">
      <c r="B736" s="10" t="s">
        <v>462</v>
      </c>
      <c r="C736" s="13" t="s">
        <v>31</v>
      </c>
      <c r="D736" s="30">
        <v>42906</v>
      </c>
      <c r="E736" s="13">
        <v>0</v>
      </c>
      <c r="F736" s="13">
        <v>0</v>
      </c>
      <c r="G736" s="13">
        <v>1</v>
      </c>
      <c r="H736" s="13">
        <v>0</v>
      </c>
      <c r="I736" s="13">
        <v>1</v>
      </c>
      <c r="J736" s="13">
        <v>0</v>
      </c>
      <c r="K736" s="55"/>
      <c r="L736" s="32"/>
      <c r="M736" s="145" t="str">
        <f t="shared" si="16"/>
        <v/>
      </c>
    </row>
    <row r="737" spans="2:13" x14ac:dyDescent="0.35">
      <c r="B737" s="10" t="s">
        <v>461</v>
      </c>
      <c r="C737" s="13" t="s">
        <v>31</v>
      </c>
      <c r="D737" s="30">
        <v>42826</v>
      </c>
      <c r="E737" s="13">
        <v>0</v>
      </c>
      <c r="F737" s="13">
        <v>0</v>
      </c>
      <c r="G737" s="13">
        <v>1</v>
      </c>
      <c r="H737" s="13">
        <v>0</v>
      </c>
      <c r="I737" s="13">
        <v>1</v>
      </c>
      <c r="J737" s="13">
        <v>0</v>
      </c>
      <c r="K737" s="55"/>
      <c r="L737" s="32"/>
      <c r="M737" s="145" t="str">
        <f t="shared" si="16"/>
        <v/>
      </c>
    </row>
    <row r="738" spans="2:13" x14ac:dyDescent="0.35">
      <c r="B738" s="10" t="s">
        <v>149</v>
      </c>
      <c r="C738" s="13" t="s">
        <v>31</v>
      </c>
      <c r="D738" s="30">
        <v>42841</v>
      </c>
      <c r="E738" s="13">
        <v>0</v>
      </c>
      <c r="F738" s="13">
        <v>0</v>
      </c>
      <c r="G738" s="13">
        <v>1</v>
      </c>
      <c r="H738" s="13">
        <v>0</v>
      </c>
      <c r="I738" s="13">
        <v>1</v>
      </c>
      <c r="J738" s="13">
        <v>0</v>
      </c>
      <c r="K738" s="55"/>
      <c r="L738" s="32"/>
      <c r="M738" s="145" t="str">
        <f t="shared" si="16"/>
        <v/>
      </c>
    </row>
    <row r="739" spans="2:13" x14ac:dyDescent="0.35">
      <c r="B739" s="10" t="s">
        <v>101</v>
      </c>
      <c r="C739" s="13" t="s">
        <v>31</v>
      </c>
      <c r="D739" s="30">
        <v>42887</v>
      </c>
      <c r="E739" s="13">
        <v>0</v>
      </c>
      <c r="F739" s="13">
        <v>0</v>
      </c>
      <c r="G739" s="13">
        <v>1</v>
      </c>
      <c r="H739" s="13">
        <v>0</v>
      </c>
      <c r="I739" s="13">
        <v>1</v>
      </c>
      <c r="J739" s="13">
        <v>0</v>
      </c>
      <c r="K739" s="55"/>
      <c r="L739" s="32"/>
      <c r="M739" s="145" t="str">
        <f t="shared" si="16"/>
        <v/>
      </c>
    </row>
    <row r="740" spans="2:13" x14ac:dyDescent="0.35">
      <c r="B740" s="10" t="s">
        <v>654</v>
      </c>
      <c r="C740" s="13" t="s">
        <v>31</v>
      </c>
      <c r="D740" s="30">
        <v>42843</v>
      </c>
      <c r="E740" s="13">
        <v>0</v>
      </c>
      <c r="F740" s="13">
        <v>0</v>
      </c>
      <c r="G740" s="13">
        <v>1</v>
      </c>
      <c r="H740" s="13">
        <v>0</v>
      </c>
      <c r="I740" s="13">
        <v>1</v>
      </c>
      <c r="J740" s="13">
        <v>0</v>
      </c>
      <c r="K740" s="55"/>
      <c r="L740" s="32"/>
      <c r="M740" s="145" t="str">
        <f t="shared" si="16"/>
        <v/>
      </c>
    </row>
    <row r="741" spans="2:13" x14ac:dyDescent="0.35">
      <c r="B741" s="10" t="s">
        <v>431</v>
      </c>
      <c r="C741" s="13" t="s">
        <v>31</v>
      </c>
      <c r="D741" s="30">
        <v>42855</v>
      </c>
      <c r="E741" s="13">
        <v>0</v>
      </c>
      <c r="F741" s="13">
        <v>0</v>
      </c>
      <c r="G741" s="13">
        <v>1</v>
      </c>
      <c r="H741" s="13">
        <v>0</v>
      </c>
      <c r="I741" s="13">
        <v>1</v>
      </c>
      <c r="J741" s="13">
        <v>0</v>
      </c>
      <c r="K741" s="55"/>
      <c r="L741" s="32"/>
      <c r="M741" s="145" t="str">
        <f t="shared" si="16"/>
        <v/>
      </c>
    </row>
    <row r="742" spans="2:13" x14ac:dyDescent="0.35">
      <c r="B742" s="10" t="s">
        <v>227</v>
      </c>
      <c r="C742" s="13" t="s">
        <v>31</v>
      </c>
      <c r="D742" s="30">
        <v>42916</v>
      </c>
      <c r="E742" s="13">
        <v>0</v>
      </c>
      <c r="F742" s="13">
        <v>0</v>
      </c>
      <c r="G742" s="13">
        <v>1</v>
      </c>
      <c r="H742" s="13">
        <v>0</v>
      </c>
      <c r="I742" s="13">
        <v>1</v>
      </c>
      <c r="J742" s="13">
        <v>0</v>
      </c>
      <c r="K742" s="55"/>
      <c r="L742" s="32"/>
      <c r="M742" s="145" t="str">
        <f t="shared" si="16"/>
        <v/>
      </c>
    </row>
    <row r="743" spans="2:13" x14ac:dyDescent="0.35">
      <c r="B743" s="10" t="s">
        <v>251</v>
      </c>
      <c r="C743" s="13" t="s">
        <v>31</v>
      </c>
      <c r="D743" s="30">
        <v>42853</v>
      </c>
      <c r="E743" s="13">
        <v>0</v>
      </c>
      <c r="F743" s="13">
        <v>0</v>
      </c>
      <c r="G743" s="13">
        <v>1</v>
      </c>
      <c r="H743" s="13">
        <v>0</v>
      </c>
      <c r="I743" s="13">
        <v>1</v>
      </c>
      <c r="J743" s="13">
        <v>0</v>
      </c>
      <c r="K743" s="55"/>
      <c r="L743" s="32"/>
      <c r="M743" s="145" t="str">
        <f t="shared" si="16"/>
        <v/>
      </c>
    </row>
    <row r="744" spans="2:13" x14ac:dyDescent="0.35">
      <c r="B744" s="10" t="s">
        <v>313</v>
      </c>
      <c r="C744" s="13" t="s">
        <v>31</v>
      </c>
      <c r="D744" s="30">
        <v>42865</v>
      </c>
      <c r="E744" s="13">
        <v>0</v>
      </c>
      <c r="F744" s="13">
        <v>0</v>
      </c>
      <c r="G744" s="13">
        <v>1</v>
      </c>
      <c r="H744" s="13">
        <v>0</v>
      </c>
      <c r="I744" s="13">
        <v>1</v>
      </c>
      <c r="J744" s="13">
        <v>0</v>
      </c>
      <c r="K744" s="55"/>
      <c r="L744" s="32"/>
      <c r="M744" s="145" t="str">
        <f t="shared" si="16"/>
        <v/>
      </c>
    </row>
    <row r="745" spans="2:13" x14ac:dyDescent="0.35">
      <c r="B745" s="10" t="s">
        <v>995</v>
      </c>
      <c r="C745" s="13" t="s">
        <v>31</v>
      </c>
      <c r="D745" s="30">
        <v>42895</v>
      </c>
      <c r="E745" s="13">
        <v>0</v>
      </c>
      <c r="F745" s="13">
        <v>0</v>
      </c>
      <c r="G745" s="13">
        <v>1</v>
      </c>
      <c r="H745" s="13">
        <v>0</v>
      </c>
      <c r="I745" s="13">
        <v>1</v>
      </c>
      <c r="J745" s="13">
        <v>0</v>
      </c>
      <c r="K745" s="55"/>
      <c r="L745" s="32"/>
      <c r="M745" s="145" t="str">
        <f t="shared" si="16"/>
        <v/>
      </c>
    </row>
    <row r="746" spans="2:13" x14ac:dyDescent="0.35">
      <c r="B746" s="10" t="s">
        <v>98</v>
      </c>
      <c r="C746" s="13" t="s">
        <v>31</v>
      </c>
      <c r="D746" s="30">
        <v>42860</v>
      </c>
      <c r="E746" s="13">
        <v>0</v>
      </c>
      <c r="F746" s="13">
        <v>0</v>
      </c>
      <c r="G746" s="13">
        <v>1</v>
      </c>
      <c r="H746" s="13">
        <v>0</v>
      </c>
      <c r="I746" s="13">
        <v>1</v>
      </c>
      <c r="J746" s="13">
        <v>0</v>
      </c>
      <c r="K746" s="55"/>
      <c r="L746" s="32"/>
      <c r="M746" s="145" t="str">
        <f t="shared" si="16"/>
        <v/>
      </c>
    </row>
    <row r="747" spans="2:13" x14ac:dyDescent="0.35">
      <c r="B747" s="10" t="s">
        <v>358</v>
      </c>
      <c r="C747" s="13" t="s">
        <v>20</v>
      </c>
      <c r="D747" s="30">
        <v>42877</v>
      </c>
      <c r="E747" s="13">
        <v>0</v>
      </c>
      <c r="F747" s="13">
        <v>0</v>
      </c>
      <c r="G747" s="13">
        <v>1</v>
      </c>
      <c r="H747" s="13">
        <v>0</v>
      </c>
      <c r="I747" s="13">
        <v>1</v>
      </c>
      <c r="J747" s="13">
        <v>0</v>
      </c>
      <c r="K747" s="55"/>
      <c r="L747" s="32"/>
      <c r="M747" s="145" t="str">
        <f t="shared" si="16"/>
        <v/>
      </c>
    </row>
    <row r="748" spans="2:13" x14ac:dyDescent="0.35">
      <c r="B748" s="10" t="s">
        <v>627</v>
      </c>
      <c r="C748" s="13" t="s">
        <v>20</v>
      </c>
      <c r="D748" s="30">
        <v>42836</v>
      </c>
      <c r="E748" s="13">
        <v>0</v>
      </c>
      <c r="F748" s="13">
        <v>0</v>
      </c>
      <c r="G748" s="13">
        <v>1</v>
      </c>
      <c r="H748" s="13">
        <v>0</v>
      </c>
      <c r="I748" s="13">
        <v>1</v>
      </c>
      <c r="J748" s="13">
        <v>0</v>
      </c>
      <c r="K748" s="55"/>
      <c r="L748" s="32"/>
      <c r="M748" s="145" t="str">
        <f t="shared" si="16"/>
        <v/>
      </c>
    </row>
    <row r="749" spans="2:13" x14ac:dyDescent="0.35">
      <c r="B749" s="10" t="s">
        <v>657</v>
      </c>
      <c r="C749" s="13" t="s">
        <v>31</v>
      </c>
      <c r="D749" s="30">
        <v>42857</v>
      </c>
      <c r="E749" s="13">
        <v>0</v>
      </c>
      <c r="F749" s="13">
        <v>0</v>
      </c>
      <c r="G749" s="13">
        <v>1</v>
      </c>
      <c r="H749" s="13">
        <v>0</v>
      </c>
      <c r="I749" s="13">
        <v>1</v>
      </c>
      <c r="J749" s="13">
        <v>0</v>
      </c>
      <c r="K749" s="55"/>
      <c r="L749" s="32"/>
      <c r="M749" s="145" t="str">
        <f t="shared" si="16"/>
        <v/>
      </c>
    </row>
    <row r="750" spans="2:13" x14ac:dyDescent="0.35">
      <c r="B750" s="10" t="s">
        <v>633</v>
      </c>
      <c r="C750" s="13" t="s">
        <v>31</v>
      </c>
      <c r="D750" s="30">
        <v>42865</v>
      </c>
      <c r="E750" s="13">
        <v>0</v>
      </c>
      <c r="F750" s="13">
        <v>0</v>
      </c>
      <c r="G750" s="13">
        <v>1</v>
      </c>
      <c r="H750" s="13">
        <v>0</v>
      </c>
      <c r="I750" s="13">
        <v>1</v>
      </c>
      <c r="J750" s="13">
        <v>0</v>
      </c>
      <c r="K750" s="55"/>
      <c r="L750" s="32"/>
      <c r="M750" s="145" t="str">
        <f t="shared" si="16"/>
        <v/>
      </c>
    </row>
    <row r="751" spans="2:13" x14ac:dyDescent="0.35">
      <c r="B751" s="10" t="s">
        <v>126</v>
      </c>
      <c r="C751" s="13" t="s">
        <v>20</v>
      </c>
      <c r="D751" s="30">
        <v>42861</v>
      </c>
      <c r="E751" s="13">
        <v>0</v>
      </c>
      <c r="F751" s="13">
        <v>0</v>
      </c>
      <c r="G751" s="13">
        <v>1</v>
      </c>
      <c r="H751" s="13">
        <v>0</v>
      </c>
      <c r="I751" s="13">
        <v>1</v>
      </c>
      <c r="J751" s="13">
        <v>0</v>
      </c>
      <c r="K751" s="55"/>
      <c r="L751" s="32"/>
      <c r="M751" s="145" t="str">
        <f t="shared" si="16"/>
        <v/>
      </c>
    </row>
    <row r="752" spans="2:13" x14ac:dyDescent="0.35">
      <c r="B752" s="10" t="s">
        <v>506</v>
      </c>
      <c r="C752" s="13" t="s">
        <v>31</v>
      </c>
      <c r="D752" s="30">
        <v>42902</v>
      </c>
      <c r="E752" s="13">
        <v>0</v>
      </c>
      <c r="F752" s="13">
        <v>0</v>
      </c>
      <c r="G752" s="13">
        <v>1</v>
      </c>
      <c r="H752" s="13">
        <v>0</v>
      </c>
      <c r="I752" s="13">
        <v>1</v>
      </c>
      <c r="J752" s="13">
        <v>0</v>
      </c>
      <c r="K752" s="55"/>
      <c r="L752" s="32"/>
      <c r="M752" s="145" t="str">
        <f t="shared" si="16"/>
        <v/>
      </c>
    </row>
    <row r="753" spans="2:13" x14ac:dyDescent="0.35">
      <c r="B753" s="10" t="s">
        <v>715</v>
      </c>
      <c r="C753" s="13" t="s">
        <v>20</v>
      </c>
      <c r="D753" s="30">
        <v>42903</v>
      </c>
      <c r="E753" s="13">
        <v>0</v>
      </c>
      <c r="F753" s="13">
        <v>0</v>
      </c>
      <c r="G753" s="13">
        <v>1</v>
      </c>
      <c r="H753" s="13">
        <v>0</v>
      </c>
      <c r="I753" s="13">
        <v>1</v>
      </c>
      <c r="J753" s="13">
        <v>0</v>
      </c>
      <c r="K753" s="55"/>
      <c r="L753" s="32"/>
      <c r="M753" s="145" t="str">
        <f t="shared" si="16"/>
        <v/>
      </c>
    </row>
    <row r="754" spans="2:13" x14ac:dyDescent="0.35">
      <c r="B754" s="10" t="s">
        <v>262</v>
      </c>
      <c r="C754" s="13" t="s">
        <v>31</v>
      </c>
      <c r="D754" s="30">
        <v>42884</v>
      </c>
      <c r="E754" s="13">
        <v>0</v>
      </c>
      <c r="F754" s="13">
        <v>0</v>
      </c>
      <c r="G754" s="13">
        <v>1</v>
      </c>
      <c r="H754" s="13">
        <v>0</v>
      </c>
      <c r="I754" s="13">
        <v>1</v>
      </c>
      <c r="J754" s="13">
        <v>0</v>
      </c>
      <c r="K754" s="55"/>
      <c r="L754" s="32"/>
      <c r="M754" s="145" t="str">
        <f t="shared" si="16"/>
        <v/>
      </c>
    </row>
    <row r="755" spans="2:13" x14ac:dyDescent="0.35">
      <c r="B755" s="10" t="s">
        <v>716</v>
      </c>
      <c r="C755" s="13" t="s">
        <v>31</v>
      </c>
      <c r="D755" s="30">
        <v>42864</v>
      </c>
      <c r="E755" s="13">
        <v>0</v>
      </c>
      <c r="F755" s="13">
        <v>0</v>
      </c>
      <c r="G755" s="13">
        <v>1</v>
      </c>
      <c r="H755" s="13">
        <v>0</v>
      </c>
      <c r="I755" s="13">
        <v>1</v>
      </c>
      <c r="J755" s="13">
        <v>0</v>
      </c>
      <c r="K755" s="55"/>
      <c r="L755" s="32"/>
      <c r="M755" s="145" t="str">
        <f t="shared" si="16"/>
        <v/>
      </c>
    </row>
    <row r="756" spans="2:13" x14ac:dyDescent="0.35">
      <c r="B756" s="10" t="s">
        <v>263</v>
      </c>
      <c r="C756" s="13" t="s">
        <v>20</v>
      </c>
      <c r="D756" s="30">
        <v>42890</v>
      </c>
      <c r="E756" s="13">
        <v>0</v>
      </c>
      <c r="F756" s="13">
        <v>0</v>
      </c>
      <c r="G756" s="13">
        <v>1</v>
      </c>
      <c r="H756" s="13">
        <v>0</v>
      </c>
      <c r="I756" s="13">
        <v>1</v>
      </c>
      <c r="J756" s="13">
        <v>0</v>
      </c>
      <c r="K756" s="55"/>
      <c r="L756" s="32"/>
      <c r="M756" s="145" t="str">
        <f t="shared" si="16"/>
        <v/>
      </c>
    </row>
    <row r="757" spans="2:13" x14ac:dyDescent="0.35">
      <c r="B757" s="10" t="s">
        <v>90</v>
      </c>
      <c r="C757" s="13" t="s">
        <v>31</v>
      </c>
      <c r="D757" s="30">
        <v>42829</v>
      </c>
      <c r="E757" s="13">
        <v>0</v>
      </c>
      <c r="F757" s="13">
        <v>0</v>
      </c>
      <c r="G757" s="13">
        <v>1</v>
      </c>
      <c r="H757" s="13">
        <v>0</v>
      </c>
      <c r="I757" s="13">
        <v>1</v>
      </c>
      <c r="J757" s="13">
        <v>0</v>
      </c>
      <c r="K757" s="55"/>
      <c r="L757" s="32"/>
      <c r="M757" s="145" t="str">
        <f t="shared" si="16"/>
        <v/>
      </c>
    </row>
    <row r="758" spans="2:13" x14ac:dyDescent="0.35">
      <c r="B758" s="10" t="s">
        <v>279</v>
      </c>
      <c r="C758" s="13" t="s">
        <v>20</v>
      </c>
      <c r="D758" s="30">
        <v>42860</v>
      </c>
      <c r="E758" s="13">
        <v>0</v>
      </c>
      <c r="F758" s="13">
        <v>0</v>
      </c>
      <c r="G758" s="13">
        <v>1</v>
      </c>
      <c r="H758" s="13">
        <v>0</v>
      </c>
      <c r="I758" s="13">
        <v>1</v>
      </c>
      <c r="J758" s="13">
        <v>0</v>
      </c>
      <c r="K758" s="55"/>
      <c r="L758" s="32"/>
      <c r="M758" s="145" t="str">
        <f t="shared" si="16"/>
        <v/>
      </c>
    </row>
    <row r="759" spans="2:13" x14ac:dyDescent="0.35">
      <c r="B759" s="10" t="s">
        <v>532</v>
      </c>
      <c r="C759" s="13" t="s">
        <v>20</v>
      </c>
      <c r="D759" s="30">
        <v>42866</v>
      </c>
      <c r="E759" s="13">
        <v>0</v>
      </c>
      <c r="F759" s="13">
        <v>0</v>
      </c>
      <c r="G759" s="13">
        <v>1</v>
      </c>
      <c r="H759" s="13">
        <v>0</v>
      </c>
      <c r="I759" s="13">
        <v>1</v>
      </c>
      <c r="J759" s="13">
        <v>0</v>
      </c>
      <c r="K759" s="55"/>
      <c r="L759" s="32"/>
      <c r="M759" s="145" t="str">
        <f t="shared" si="16"/>
        <v/>
      </c>
    </row>
    <row r="760" spans="2:13" x14ac:dyDescent="0.35">
      <c r="B760" s="10" t="s">
        <v>682</v>
      </c>
      <c r="C760" s="13" t="s">
        <v>20</v>
      </c>
      <c r="D760" s="30">
        <v>42873</v>
      </c>
      <c r="E760" s="13">
        <v>0</v>
      </c>
      <c r="F760" s="13">
        <v>0</v>
      </c>
      <c r="G760" s="13">
        <v>1</v>
      </c>
      <c r="H760" s="13">
        <v>0</v>
      </c>
      <c r="I760" s="13">
        <v>1</v>
      </c>
      <c r="J760" s="13">
        <v>0</v>
      </c>
      <c r="K760" s="55"/>
      <c r="L760" s="32"/>
      <c r="M760" s="145" t="str">
        <f t="shared" si="16"/>
        <v/>
      </c>
    </row>
    <row r="761" spans="2:13" x14ac:dyDescent="0.35">
      <c r="B761" s="10" t="s">
        <v>81</v>
      </c>
      <c r="C761" s="13" t="s">
        <v>31</v>
      </c>
      <c r="D761" s="30">
        <v>42841</v>
      </c>
      <c r="E761" s="13">
        <v>0</v>
      </c>
      <c r="F761" s="13">
        <v>0</v>
      </c>
      <c r="G761" s="13">
        <v>1</v>
      </c>
      <c r="H761" s="13">
        <v>0</v>
      </c>
      <c r="I761" s="13">
        <v>1</v>
      </c>
      <c r="J761" s="13">
        <v>0</v>
      </c>
      <c r="K761" s="55"/>
      <c r="L761" s="32"/>
      <c r="M761" s="145" t="str">
        <f t="shared" si="16"/>
        <v/>
      </c>
    </row>
    <row r="762" spans="2:13" x14ac:dyDescent="0.35">
      <c r="B762" s="10" t="s">
        <v>52</v>
      </c>
      <c r="C762" s="13" t="s">
        <v>20</v>
      </c>
      <c r="D762" s="30">
        <v>42873</v>
      </c>
      <c r="E762" s="13">
        <v>0</v>
      </c>
      <c r="F762" s="13">
        <v>0</v>
      </c>
      <c r="G762" s="13">
        <v>1</v>
      </c>
      <c r="H762" s="13">
        <v>0</v>
      </c>
      <c r="I762" s="13">
        <v>1</v>
      </c>
      <c r="J762" s="13">
        <v>0</v>
      </c>
      <c r="K762" s="55"/>
      <c r="L762" s="32"/>
      <c r="M762" s="145" t="str">
        <f t="shared" si="16"/>
        <v/>
      </c>
    </row>
    <row r="763" spans="2:13" x14ac:dyDescent="0.35">
      <c r="B763" s="10" t="s">
        <v>689</v>
      </c>
      <c r="C763" s="13" t="s">
        <v>20</v>
      </c>
      <c r="D763" s="30">
        <v>42881</v>
      </c>
      <c r="E763" s="13">
        <v>0</v>
      </c>
      <c r="F763" s="13">
        <v>0</v>
      </c>
      <c r="G763" s="13">
        <v>1</v>
      </c>
      <c r="H763" s="13">
        <v>0</v>
      </c>
      <c r="I763" s="13">
        <v>1</v>
      </c>
      <c r="J763" s="13">
        <v>0</v>
      </c>
      <c r="K763" s="55"/>
      <c r="L763" s="32"/>
      <c r="M763" s="145" t="str">
        <f t="shared" si="16"/>
        <v/>
      </c>
    </row>
    <row r="764" spans="2:13" x14ac:dyDescent="0.35">
      <c r="B764" s="10" t="s">
        <v>676</v>
      </c>
      <c r="C764" s="13" t="s">
        <v>20</v>
      </c>
      <c r="D764" s="30">
        <v>42847</v>
      </c>
      <c r="E764" s="13">
        <v>0</v>
      </c>
      <c r="F764" s="13">
        <v>0</v>
      </c>
      <c r="G764" s="13">
        <v>1</v>
      </c>
      <c r="H764" s="13">
        <v>0</v>
      </c>
      <c r="I764" s="13">
        <v>1</v>
      </c>
      <c r="J764" s="13">
        <v>0</v>
      </c>
      <c r="K764" s="55"/>
      <c r="L764" s="32"/>
      <c r="M764" s="145" t="str">
        <f t="shared" si="16"/>
        <v/>
      </c>
    </row>
    <row r="765" spans="2:13" x14ac:dyDescent="0.35">
      <c r="B765" s="10" t="s">
        <v>449</v>
      </c>
      <c r="C765" s="13" t="s">
        <v>31</v>
      </c>
      <c r="D765" s="30">
        <v>42879</v>
      </c>
      <c r="E765" s="13">
        <v>0</v>
      </c>
      <c r="F765" s="13">
        <v>0</v>
      </c>
      <c r="G765" s="13">
        <v>1</v>
      </c>
      <c r="H765" s="13">
        <v>0</v>
      </c>
      <c r="I765" s="13">
        <v>1</v>
      </c>
      <c r="J765" s="13">
        <v>0</v>
      </c>
      <c r="K765" s="55"/>
      <c r="L765" s="32"/>
      <c r="M765" s="145" t="str">
        <f t="shared" si="16"/>
        <v/>
      </c>
    </row>
    <row r="766" spans="2:13" x14ac:dyDescent="0.35">
      <c r="B766" s="10" t="s">
        <v>477</v>
      </c>
      <c r="C766" s="13" t="s">
        <v>20</v>
      </c>
      <c r="D766" s="30">
        <v>42898</v>
      </c>
      <c r="E766" s="13">
        <v>0</v>
      </c>
      <c r="F766" s="13">
        <v>0</v>
      </c>
      <c r="G766" s="13">
        <v>1</v>
      </c>
      <c r="H766" s="13">
        <v>0</v>
      </c>
      <c r="I766" s="13">
        <v>1</v>
      </c>
      <c r="J766" s="13">
        <v>0</v>
      </c>
      <c r="K766" s="55"/>
      <c r="L766" s="32"/>
      <c r="M766" s="145" t="str">
        <f t="shared" si="16"/>
        <v/>
      </c>
    </row>
    <row r="767" spans="2:13" x14ac:dyDescent="0.35">
      <c r="B767" s="10" t="s">
        <v>634</v>
      </c>
      <c r="C767" s="13" t="s">
        <v>31</v>
      </c>
      <c r="D767" s="30">
        <v>42875</v>
      </c>
      <c r="E767" s="13">
        <v>0</v>
      </c>
      <c r="F767" s="13">
        <v>0</v>
      </c>
      <c r="G767" s="13">
        <v>1</v>
      </c>
      <c r="H767" s="13">
        <v>0</v>
      </c>
      <c r="I767" s="13">
        <v>1</v>
      </c>
      <c r="J767" s="13">
        <v>0</v>
      </c>
      <c r="K767" s="55"/>
      <c r="L767" s="32"/>
      <c r="M767" s="145" t="str">
        <f t="shared" si="16"/>
        <v/>
      </c>
    </row>
    <row r="768" spans="2:13" x14ac:dyDescent="0.35">
      <c r="B768" s="10" t="s">
        <v>294</v>
      </c>
      <c r="C768" s="13" t="s">
        <v>20</v>
      </c>
      <c r="D768" s="30">
        <v>42882</v>
      </c>
      <c r="E768" s="13">
        <v>0</v>
      </c>
      <c r="F768" s="13">
        <v>0</v>
      </c>
      <c r="G768" s="13">
        <v>1</v>
      </c>
      <c r="H768" s="13">
        <v>0</v>
      </c>
      <c r="I768" s="13">
        <v>1</v>
      </c>
      <c r="J768" s="13">
        <v>0</v>
      </c>
      <c r="K768" s="55"/>
      <c r="L768" s="32"/>
      <c r="M768" s="145" t="str">
        <f t="shared" si="16"/>
        <v/>
      </c>
    </row>
    <row r="769" spans="2:13" x14ac:dyDescent="0.35">
      <c r="B769" s="10" t="s">
        <v>250</v>
      </c>
      <c r="C769" s="13" t="s">
        <v>20</v>
      </c>
      <c r="D769" s="30">
        <v>42887</v>
      </c>
      <c r="E769" s="13">
        <v>0</v>
      </c>
      <c r="F769" s="13">
        <v>0</v>
      </c>
      <c r="G769" s="13">
        <v>1</v>
      </c>
      <c r="H769" s="13">
        <v>0</v>
      </c>
      <c r="I769" s="13">
        <v>1</v>
      </c>
      <c r="J769" s="13">
        <v>0</v>
      </c>
      <c r="K769" s="55"/>
      <c r="L769" s="32"/>
      <c r="M769" s="145" t="str">
        <f t="shared" si="16"/>
        <v/>
      </c>
    </row>
    <row r="770" spans="2:13" x14ac:dyDescent="0.35">
      <c r="B770" s="10" t="s">
        <v>329</v>
      </c>
      <c r="C770" s="13" t="s">
        <v>31</v>
      </c>
      <c r="D770" s="30">
        <v>42854</v>
      </c>
      <c r="E770" s="13">
        <v>0</v>
      </c>
      <c r="F770" s="13">
        <v>0</v>
      </c>
      <c r="G770" s="13">
        <v>1</v>
      </c>
      <c r="H770" s="13">
        <v>0</v>
      </c>
      <c r="I770" s="13">
        <v>1</v>
      </c>
      <c r="J770" s="13">
        <v>0</v>
      </c>
      <c r="K770" s="55"/>
      <c r="L770" s="32"/>
      <c r="M770" s="145" t="str">
        <f t="shared" si="16"/>
        <v/>
      </c>
    </row>
    <row r="771" spans="2:13" x14ac:dyDescent="0.35">
      <c r="B771" s="10" t="s">
        <v>63</v>
      </c>
      <c r="C771" s="13" t="s">
        <v>31</v>
      </c>
      <c r="D771" s="30">
        <v>42845</v>
      </c>
      <c r="E771" s="13">
        <v>0</v>
      </c>
      <c r="F771" s="13">
        <v>0</v>
      </c>
      <c r="G771" s="13">
        <v>1</v>
      </c>
      <c r="H771" s="13">
        <v>0</v>
      </c>
      <c r="I771" s="13">
        <v>1</v>
      </c>
      <c r="J771" s="13">
        <v>0</v>
      </c>
      <c r="K771" s="55"/>
      <c r="L771" s="32"/>
      <c r="M771" s="145" t="str">
        <f t="shared" si="16"/>
        <v/>
      </c>
    </row>
    <row r="772" spans="2:13" x14ac:dyDescent="0.35">
      <c r="B772" s="10" t="s">
        <v>136</v>
      </c>
      <c r="C772" s="13" t="s">
        <v>31</v>
      </c>
      <c r="D772" s="30">
        <v>42876</v>
      </c>
      <c r="E772" s="13">
        <v>0</v>
      </c>
      <c r="F772" s="13">
        <v>0</v>
      </c>
      <c r="G772" s="13">
        <v>1</v>
      </c>
      <c r="H772" s="13">
        <v>0</v>
      </c>
      <c r="I772" s="13">
        <v>1</v>
      </c>
      <c r="J772" s="13">
        <v>0</v>
      </c>
      <c r="K772" s="55"/>
      <c r="L772" s="32"/>
      <c r="M772" s="145" t="str">
        <f t="shared" si="16"/>
        <v/>
      </c>
    </row>
    <row r="773" spans="2:13" x14ac:dyDescent="0.35">
      <c r="B773" s="10" t="s">
        <v>498</v>
      </c>
      <c r="C773" s="13" t="s">
        <v>20</v>
      </c>
      <c r="D773" s="30">
        <v>42868</v>
      </c>
      <c r="E773" s="13">
        <v>0</v>
      </c>
      <c r="F773" s="13">
        <v>0</v>
      </c>
      <c r="G773" s="13">
        <v>1</v>
      </c>
      <c r="H773" s="13">
        <v>0</v>
      </c>
      <c r="I773" s="13">
        <v>1</v>
      </c>
      <c r="J773" s="13">
        <v>0</v>
      </c>
      <c r="K773" s="55"/>
      <c r="L773" s="32"/>
      <c r="M773" s="145" t="str">
        <f t="shared" si="16"/>
        <v/>
      </c>
    </row>
    <row r="774" spans="2:13" x14ac:dyDescent="0.35">
      <c r="B774" s="10" t="s">
        <v>558</v>
      </c>
      <c r="C774" s="13" t="s">
        <v>20</v>
      </c>
      <c r="D774" s="30">
        <v>42902</v>
      </c>
      <c r="E774" s="13">
        <v>0</v>
      </c>
      <c r="F774" s="13">
        <v>0</v>
      </c>
      <c r="G774" s="13">
        <v>1</v>
      </c>
      <c r="H774" s="13">
        <v>0</v>
      </c>
      <c r="I774" s="13">
        <v>1</v>
      </c>
      <c r="J774" s="13">
        <v>0</v>
      </c>
      <c r="K774" s="55"/>
      <c r="L774" s="32"/>
      <c r="M774" s="145" t="str">
        <f t="shared" si="16"/>
        <v/>
      </c>
    </row>
    <row r="775" spans="2:13" x14ac:dyDescent="0.35">
      <c r="B775" s="10" t="s">
        <v>608</v>
      </c>
      <c r="C775" s="13" t="s">
        <v>31</v>
      </c>
      <c r="D775" s="30">
        <v>42877</v>
      </c>
      <c r="E775" s="13">
        <v>0</v>
      </c>
      <c r="F775" s="13">
        <v>0</v>
      </c>
      <c r="G775" s="13">
        <v>1</v>
      </c>
      <c r="H775" s="13">
        <v>0</v>
      </c>
      <c r="I775" s="13">
        <v>1</v>
      </c>
      <c r="J775" s="13">
        <v>0</v>
      </c>
      <c r="K775" s="55"/>
      <c r="L775" s="32"/>
      <c r="M775" s="145" t="str">
        <f t="shared" ref="M775:M782" si="17">IF(K775="", "", K775-D775)</f>
        <v/>
      </c>
    </row>
    <row r="776" spans="2:13" x14ac:dyDescent="0.35">
      <c r="B776" s="10" t="s">
        <v>291</v>
      </c>
      <c r="C776" s="13" t="s">
        <v>31</v>
      </c>
      <c r="D776" s="30">
        <v>42881</v>
      </c>
      <c r="E776" s="13">
        <v>0</v>
      </c>
      <c r="F776" s="13">
        <v>0</v>
      </c>
      <c r="G776" s="13">
        <v>1</v>
      </c>
      <c r="H776" s="13">
        <v>0</v>
      </c>
      <c r="I776" s="13">
        <v>1</v>
      </c>
      <c r="J776" s="13">
        <v>0</v>
      </c>
      <c r="K776" s="55"/>
      <c r="L776" s="32"/>
      <c r="M776" s="145" t="str">
        <f t="shared" si="17"/>
        <v/>
      </c>
    </row>
    <row r="777" spans="2:13" x14ac:dyDescent="0.35">
      <c r="B777" s="10" t="s">
        <v>635</v>
      </c>
      <c r="C777" s="13" t="s">
        <v>20</v>
      </c>
      <c r="D777" s="30">
        <v>42874</v>
      </c>
      <c r="E777" s="13">
        <v>0</v>
      </c>
      <c r="F777" s="13">
        <v>0</v>
      </c>
      <c r="G777" s="13">
        <v>1</v>
      </c>
      <c r="H777" s="13">
        <v>0</v>
      </c>
      <c r="I777" s="13">
        <v>1</v>
      </c>
      <c r="J777" s="13">
        <v>0</v>
      </c>
      <c r="K777" s="55"/>
      <c r="L777" s="32"/>
      <c r="M777" s="145" t="str">
        <f t="shared" si="17"/>
        <v/>
      </c>
    </row>
    <row r="778" spans="2:13" x14ac:dyDescent="0.35">
      <c r="B778" s="10" t="s">
        <v>545</v>
      </c>
      <c r="C778" s="13" t="s">
        <v>31</v>
      </c>
      <c r="D778" s="30">
        <v>42877</v>
      </c>
      <c r="E778" s="13">
        <v>0</v>
      </c>
      <c r="F778" s="13">
        <v>0</v>
      </c>
      <c r="G778" s="13">
        <v>1</v>
      </c>
      <c r="H778" s="13">
        <v>0</v>
      </c>
      <c r="I778" s="13">
        <v>1</v>
      </c>
      <c r="J778" s="13">
        <v>0</v>
      </c>
      <c r="K778" s="55"/>
      <c r="L778" s="32"/>
      <c r="M778" s="145" t="str">
        <f t="shared" si="17"/>
        <v/>
      </c>
    </row>
    <row r="779" spans="2:13" x14ac:dyDescent="0.35">
      <c r="B779" s="10" t="s">
        <v>409</v>
      </c>
      <c r="C779" s="13" t="s">
        <v>31</v>
      </c>
      <c r="D779" s="30">
        <v>42859</v>
      </c>
      <c r="E779" s="13">
        <v>0</v>
      </c>
      <c r="F779" s="13">
        <v>0</v>
      </c>
      <c r="G779" s="13">
        <v>1</v>
      </c>
      <c r="H779" s="13">
        <v>0</v>
      </c>
      <c r="I779" s="13">
        <v>1</v>
      </c>
      <c r="J779" s="13">
        <v>0</v>
      </c>
      <c r="K779" s="55"/>
      <c r="L779" s="32"/>
      <c r="M779" s="145" t="str">
        <f t="shared" si="17"/>
        <v/>
      </c>
    </row>
    <row r="780" spans="2:13" x14ac:dyDescent="0.35">
      <c r="B780" s="10" t="s">
        <v>151</v>
      </c>
      <c r="C780" s="13" t="s">
        <v>20</v>
      </c>
      <c r="D780" s="30">
        <v>42828</v>
      </c>
      <c r="E780" s="13">
        <v>0</v>
      </c>
      <c r="F780" s="13">
        <v>0</v>
      </c>
      <c r="G780" s="13">
        <v>1</v>
      </c>
      <c r="H780" s="13">
        <v>0</v>
      </c>
      <c r="I780" s="13">
        <v>1</v>
      </c>
      <c r="J780" s="13">
        <v>0</v>
      </c>
      <c r="K780" s="55"/>
      <c r="L780" s="32"/>
      <c r="M780" s="145" t="str">
        <f t="shared" si="17"/>
        <v/>
      </c>
    </row>
    <row r="781" spans="2:13" x14ac:dyDescent="0.35">
      <c r="B781" s="10" t="s">
        <v>104</v>
      </c>
      <c r="C781" s="13" t="s">
        <v>20</v>
      </c>
      <c r="D781" s="30">
        <v>42835</v>
      </c>
      <c r="E781" s="13">
        <v>0</v>
      </c>
      <c r="F781" s="13">
        <v>0</v>
      </c>
      <c r="G781" s="13">
        <v>1</v>
      </c>
      <c r="H781" s="13">
        <v>0</v>
      </c>
      <c r="I781" s="13">
        <v>1</v>
      </c>
      <c r="J781" s="13">
        <v>0</v>
      </c>
      <c r="K781" s="55"/>
      <c r="L781" s="32"/>
      <c r="M781" s="145" t="str">
        <f t="shared" si="17"/>
        <v/>
      </c>
    </row>
    <row r="782" spans="2:13" x14ac:dyDescent="0.35">
      <c r="M782" s="145" t="str">
        <f t="shared" si="17"/>
        <v/>
      </c>
    </row>
  </sheetData>
  <autoFilter ref="B5:L781">
    <sortState ref="B6:N781">
      <sortCondition descending="1" ref="L5:L781"/>
    </sortState>
  </autoFilter>
  <sortState ref="B6:B781">
    <sortCondition ref="B6"/>
  </sortState>
  <pageMargins left="0.2" right="0.2" top="0.25" bottom="0.25" header="0.3" footer="0.3"/>
  <pageSetup scale="5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P197"/>
  <sheetViews>
    <sheetView showGridLines="0" topLeftCell="R1" workbookViewId="0">
      <selection activeCell="AB7" sqref="AB7"/>
    </sheetView>
  </sheetViews>
  <sheetFormatPr defaultColWidth="11.54296875" defaultRowHeight="14.5" x14ac:dyDescent="0.35"/>
  <cols>
    <col min="1" max="1" width="1.54296875" style="28" customWidth="1"/>
    <col min="2" max="3" width="10.54296875" style="28" customWidth="1"/>
    <col min="4" max="4" width="10.54296875" style="145" customWidth="1"/>
    <col min="5" max="7" width="15.54296875" style="28" customWidth="1"/>
    <col min="8" max="8" width="23.54296875" style="28" bestFit="1" customWidth="1"/>
    <col min="9" max="16384" width="11.54296875" style="28"/>
  </cols>
  <sheetData>
    <row r="1" spans="2:16" ht="7" customHeight="1" x14ac:dyDescent="0.35"/>
    <row r="2" spans="2:16" ht="18.5" x14ac:dyDescent="0.45">
      <c r="B2" s="19" t="s">
        <v>915</v>
      </c>
      <c r="C2" s="19"/>
      <c r="D2" s="19"/>
      <c r="F2" s="61"/>
    </row>
    <row r="3" spans="2:16" ht="15.5" x14ac:dyDescent="0.35">
      <c r="B3" s="154" t="s">
        <v>914</v>
      </c>
      <c r="C3" s="17"/>
      <c r="D3" s="17"/>
      <c r="G3" s="57"/>
      <c r="H3" s="14"/>
    </row>
    <row r="4" spans="2:16" ht="15.5" x14ac:dyDescent="0.35">
      <c r="B4" s="9"/>
      <c r="C4" s="9"/>
      <c r="D4" s="9"/>
      <c r="G4" s="14"/>
    </row>
    <row r="5" spans="2:16" ht="87" x14ac:dyDescent="0.35">
      <c r="B5" s="40" t="s">
        <v>788</v>
      </c>
      <c r="C5" s="40" t="s">
        <v>839</v>
      </c>
      <c r="D5" s="40" t="s">
        <v>1010</v>
      </c>
      <c r="E5" s="16" t="s">
        <v>996</v>
      </c>
      <c r="F5" s="16" t="s">
        <v>798</v>
      </c>
      <c r="G5" s="16" t="s">
        <v>804</v>
      </c>
      <c r="H5" s="16" t="s">
        <v>810</v>
      </c>
      <c r="K5" s="153" t="s">
        <v>912</v>
      </c>
    </row>
    <row r="6" spans="2:16" x14ac:dyDescent="0.35">
      <c r="B6" s="13" t="s">
        <v>20</v>
      </c>
      <c r="C6" s="13">
        <v>22</v>
      </c>
      <c r="D6" s="13" t="str">
        <f>VLOOKUP(C6,$K$7:$L$511,2,FALSE)</f>
        <v>18-25</v>
      </c>
      <c r="E6" s="13">
        <v>10</v>
      </c>
      <c r="F6" s="62" t="s">
        <v>799</v>
      </c>
      <c r="G6" s="62" t="s">
        <v>807</v>
      </c>
      <c r="H6" s="68"/>
      <c r="K6" s="16" t="s">
        <v>839</v>
      </c>
      <c r="L6" s="16" t="s">
        <v>840</v>
      </c>
    </row>
    <row r="7" spans="2:16" x14ac:dyDescent="0.35">
      <c r="B7" s="13" t="s">
        <v>20</v>
      </c>
      <c r="C7" s="13">
        <v>22</v>
      </c>
      <c r="D7" s="13" t="str">
        <f t="shared" ref="D7:D70" si="0">VLOOKUP(C7,$K$7:$L$511,2,FALSE)</f>
        <v>18-25</v>
      </c>
      <c r="E7" s="13">
        <v>9</v>
      </c>
      <c r="F7" s="62" t="s">
        <v>799</v>
      </c>
      <c r="G7" s="62" t="s">
        <v>807</v>
      </c>
      <c r="H7" s="68"/>
      <c r="K7" s="13">
        <v>21</v>
      </c>
      <c r="L7" s="13" t="s">
        <v>841</v>
      </c>
      <c r="P7"/>
    </row>
    <row r="8" spans="2:16" x14ac:dyDescent="0.35">
      <c r="B8" s="13" t="s">
        <v>20</v>
      </c>
      <c r="C8" s="13">
        <v>21</v>
      </c>
      <c r="D8" s="13" t="str">
        <f t="shared" si="0"/>
        <v>18-25</v>
      </c>
      <c r="E8" s="13">
        <v>6</v>
      </c>
      <c r="F8" s="62" t="s">
        <v>799</v>
      </c>
      <c r="G8" s="62" t="s">
        <v>808</v>
      </c>
      <c r="H8" s="62" t="s">
        <v>811</v>
      </c>
      <c r="K8" s="13">
        <f>K7+1</f>
        <v>22</v>
      </c>
      <c r="L8" s="13" t="s">
        <v>841</v>
      </c>
      <c r="P8"/>
    </row>
    <row r="9" spans="2:16" x14ac:dyDescent="0.35">
      <c r="B9" s="13" t="s">
        <v>20</v>
      </c>
      <c r="C9" s="13">
        <v>25</v>
      </c>
      <c r="D9" s="13" t="str">
        <f t="shared" si="0"/>
        <v>18-25</v>
      </c>
      <c r="E9" s="13">
        <v>5</v>
      </c>
      <c r="F9" s="62" t="s">
        <v>799</v>
      </c>
      <c r="G9" s="62" t="s">
        <v>808</v>
      </c>
      <c r="H9" s="62" t="s">
        <v>813</v>
      </c>
      <c r="K9" s="13">
        <f t="shared" ref="K9:K51" si="1">K8+1</f>
        <v>23</v>
      </c>
      <c r="L9" s="13" t="s">
        <v>841</v>
      </c>
      <c r="P9"/>
    </row>
    <row r="10" spans="2:16" x14ac:dyDescent="0.35">
      <c r="B10" s="13" t="s">
        <v>20</v>
      </c>
      <c r="C10" s="13">
        <v>22</v>
      </c>
      <c r="D10" s="13" t="str">
        <f t="shared" si="0"/>
        <v>18-25</v>
      </c>
      <c r="E10" s="13">
        <v>10</v>
      </c>
      <c r="F10" s="62" t="s">
        <v>799</v>
      </c>
      <c r="G10" s="62" t="s">
        <v>806</v>
      </c>
      <c r="H10" s="68"/>
      <c r="K10" s="13">
        <f t="shared" si="1"/>
        <v>24</v>
      </c>
      <c r="L10" s="13" t="s">
        <v>841</v>
      </c>
      <c r="P10"/>
    </row>
    <row r="11" spans="2:16" x14ac:dyDescent="0.35">
      <c r="B11" s="13" t="s">
        <v>20</v>
      </c>
      <c r="C11" s="13">
        <v>24</v>
      </c>
      <c r="D11" s="13" t="str">
        <f t="shared" si="0"/>
        <v>18-25</v>
      </c>
      <c r="E11" s="13">
        <v>6</v>
      </c>
      <c r="F11" s="62" t="s">
        <v>799</v>
      </c>
      <c r="G11" s="62" t="s">
        <v>805</v>
      </c>
      <c r="H11" s="68"/>
      <c r="K11" s="13">
        <f t="shared" si="1"/>
        <v>25</v>
      </c>
      <c r="L11" s="13" t="s">
        <v>841</v>
      </c>
      <c r="P11"/>
    </row>
    <row r="12" spans="2:16" x14ac:dyDescent="0.35">
      <c r="B12" s="13" t="s">
        <v>20</v>
      </c>
      <c r="C12" s="13">
        <v>23</v>
      </c>
      <c r="D12" s="13" t="str">
        <f t="shared" si="0"/>
        <v>18-25</v>
      </c>
      <c r="E12" s="13">
        <v>9</v>
      </c>
      <c r="F12" s="62" t="s">
        <v>800</v>
      </c>
      <c r="G12" s="62" t="s">
        <v>808</v>
      </c>
      <c r="H12" s="62" t="s">
        <v>813</v>
      </c>
      <c r="K12" s="13">
        <f t="shared" si="1"/>
        <v>26</v>
      </c>
      <c r="L12" s="13" t="s">
        <v>842</v>
      </c>
      <c r="P12"/>
    </row>
    <row r="13" spans="2:16" x14ac:dyDescent="0.35">
      <c r="B13" s="13" t="s">
        <v>20</v>
      </c>
      <c r="C13" s="13">
        <v>24</v>
      </c>
      <c r="D13" s="13" t="str">
        <f t="shared" si="0"/>
        <v>18-25</v>
      </c>
      <c r="E13" s="13">
        <v>6</v>
      </c>
      <c r="F13" s="62" t="s">
        <v>800</v>
      </c>
      <c r="G13" s="62" t="s">
        <v>808</v>
      </c>
      <c r="H13" s="62" t="s">
        <v>812</v>
      </c>
      <c r="K13" s="13">
        <f t="shared" si="1"/>
        <v>27</v>
      </c>
      <c r="L13" s="13" t="s">
        <v>842</v>
      </c>
      <c r="P13"/>
    </row>
    <row r="14" spans="2:16" x14ac:dyDescent="0.35">
      <c r="B14" s="13" t="s">
        <v>20</v>
      </c>
      <c r="C14" s="13">
        <v>25</v>
      </c>
      <c r="D14" s="13" t="str">
        <f t="shared" si="0"/>
        <v>18-25</v>
      </c>
      <c r="E14" s="13">
        <v>6</v>
      </c>
      <c r="F14" s="62" t="s">
        <v>800</v>
      </c>
      <c r="G14" s="62" t="s">
        <v>806</v>
      </c>
      <c r="H14" s="68"/>
      <c r="K14" s="13">
        <f t="shared" si="1"/>
        <v>28</v>
      </c>
      <c r="L14" s="13" t="s">
        <v>842</v>
      </c>
      <c r="N14"/>
      <c r="O14"/>
      <c r="P14"/>
    </row>
    <row r="15" spans="2:16" x14ac:dyDescent="0.35">
      <c r="B15" s="13" t="s">
        <v>20</v>
      </c>
      <c r="C15" s="13">
        <v>21</v>
      </c>
      <c r="D15" s="13" t="str">
        <f t="shared" si="0"/>
        <v>18-25</v>
      </c>
      <c r="E15" s="13">
        <v>10</v>
      </c>
      <c r="F15" s="62" t="s">
        <v>997</v>
      </c>
      <c r="G15" s="62" t="s">
        <v>807</v>
      </c>
      <c r="H15" s="68"/>
      <c r="K15" s="13">
        <f t="shared" si="1"/>
        <v>29</v>
      </c>
      <c r="L15" s="13" t="s">
        <v>842</v>
      </c>
      <c r="N15"/>
      <c r="O15"/>
      <c r="P15"/>
    </row>
    <row r="16" spans="2:16" x14ac:dyDescent="0.35">
      <c r="B16" s="13" t="s">
        <v>20</v>
      </c>
      <c r="C16" s="13">
        <v>23</v>
      </c>
      <c r="D16" s="13" t="str">
        <f t="shared" si="0"/>
        <v>18-25</v>
      </c>
      <c r="E16" s="13">
        <v>10</v>
      </c>
      <c r="F16" s="62" t="s">
        <v>997</v>
      </c>
      <c r="G16" s="62" t="s">
        <v>807</v>
      </c>
      <c r="H16" s="68"/>
      <c r="K16" s="13">
        <f t="shared" si="1"/>
        <v>30</v>
      </c>
      <c r="L16" s="13" t="s">
        <v>842</v>
      </c>
      <c r="N16"/>
      <c r="O16"/>
      <c r="P16"/>
    </row>
    <row r="17" spans="2:16" x14ac:dyDescent="0.35">
      <c r="B17" s="13" t="s">
        <v>20</v>
      </c>
      <c r="C17" s="13">
        <v>21</v>
      </c>
      <c r="D17" s="13" t="str">
        <f t="shared" si="0"/>
        <v>18-25</v>
      </c>
      <c r="E17" s="13">
        <v>9</v>
      </c>
      <c r="F17" s="62" t="s">
        <v>997</v>
      </c>
      <c r="G17" s="62" t="s">
        <v>807</v>
      </c>
      <c r="H17" s="68"/>
      <c r="K17" s="13">
        <f t="shared" si="1"/>
        <v>31</v>
      </c>
      <c r="L17" s="13" t="s">
        <v>842</v>
      </c>
      <c r="N17"/>
      <c r="O17"/>
      <c r="P17"/>
    </row>
    <row r="18" spans="2:16" x14ac:dyDescent="0.35">
      <c r="B18" s="13" t="s">
        <v>20</v>
      </c>
      <c r="C18" s="13">
        <v>21</v>
      </c>
      <c r="D18" s="13" t="str">
        <f t="shared" si="0"/>
        <v>18-25</v>
      </c>
      <c r="E18" s="13">
        <v>9</v>
      </c>
      <c r="F18" s="62" t="s">
        <v>801</v>
      </c>
      <c r="G18" s="62" t="s">
        <v>805</v>
      </c>
      <c r="H18" s="68"/>
      <c r="K18" s="13">
        <f t="shared" si="1"/>
        <v>32</v>
      </c>
      <c r="L18" s="13" t="s">
        <v>842</v>
      </c>
      <c r="N18"/>
      <c r="O18"/>
      <c r="P18"/>
    </row>
    <row r="19" spans="2:16" x14ac:dyDescent="0.35">
      <c r="B19" s="13" t="s">
        <v>20</v>
      </c>
      <c r="C19" s="13">
        <v>23</v>
      </c>
      <c r="D19" s="13" t="str">
        <f t="shared" si="0"/>
        <v>18-25</v>
      </c>
      <c r="E19" s="13">
        <v>9</v>
      </c>
      <c r="F19" s="62" t="s">
        <v>801</v>
      </c>
      <c r="G19" s="62" t="s">
        <v>805</v>
      </c>
      <c r="H19" s="68"/>
      <c r="K19" s="13">
        <f t="shared" si="1"/>
        <v>33</v>
      </c>
      <c r="L19" s="13" t="s">
        <v>842</v>
      </c>
      <c r="N19"/>
      <c r="O19"/>
      <c r="P19"/>
    </row>
    <row r="20" spans="2:16" x14ac:dyDescent="0.35">
      <c r="B20" s="13" t="s">
        <v>20</v>
      </c>
      <c r="C20" s="13">
        <v>21</v>
      </c>
      <c r="D20" s="13" t="str">
        <f t="shared" si="0"/>
        <v>18-25</v>
      </c>
      <c r="E20" s="13">
        <v>10</v>
      </c>
      <c r="F20" s="62" t="s">
        <v>802</v>
      </c>
      <c r="G20" s="62" t="s">
        <v>808</v>
      </c>
      <c r="H20" s="62" t="s">
        <v>813</v>
      </c>
      <c r="K20" s="13">
        <f t="shared" si="1"/>
        <v>34</v>
      </c>
      <c r="L20" s="13" t="s">
        <v>842</v>
      </c>
      <c r="N20"/>
      <c r="O20"/>
      <c r="P20"/>
    </row>
    <row r="21" spans="2:16" x14ac:dyDescent="0.35">
      <c r="B21" s="13" t="s">
        <v>20</v>
      </c>
      <c r="C21" s="13">
        <v>25</v>
      </c>
      <c r="D21" s="13" t="str">
        <f t="shared" si="0"/>
        <v>18-25</v>
      </c>
      <c r="E21" s="13">
        <v>9</v>
      </c>
      <c r="F21" s="62" t="s">
        <v>802</v>
      </c>
      <c r="G21" s="62" t="s">
        <v>806</v>
      </c>
      <c r="H21" s="68"/>
      <c r="K21" s="13">
        <f t="shared" si="1"/>
        <v>35</v>
      </c>
      <c r="L21" s="13" t="s">
        <v>842</v>
      </c>
      <c r="N21"/>
      <c r="O21"/>
      <c r="P21"/>
    </row>
    <row r="22" spans="2:16" x14ac:dyDescent="0.35">
      <c r="B22" s="13" t="s">
        <v>20</v>
      </c>
      <c r="C22" s="13">
        <v>22</v>
      </c>
      <c r="D22" s="13" t="str">
        <f t="shared" si="0"/>
        <v>18-25</v>
      </c>
      <c r="E22" s="13">
        <v>9</v>
      </c>
      <c r="F22" s="62" t="s">
        <v>803</v>
      </c>
      <c r="G22" s="62" t="s">
        <v>807</v>
      </c>
      <c r="H22" s="68"/>
      <c r="K22" s="13">
        <f t="shared" si="1"/>
        <v>36</v>
      </c>
      <c r="L22" s="13" t="s">
        <v>843</v>
      </c>
      <c r="N22"/>
      <c r="O22"/>
      <c r="P22"/>
    </row>
    <row r="23" spans="2:16" x14ac:dyDescent="0.35">
      <c r="B23" s="13" t="s">
        <v>20</v>
      </c>
      <c r="C23" s="13">
        <v>21</v>
      </c>
      <c r="D23" s="13" t="str">
        <f t="shared" si="0"/>
        <v>18-25</v>
      </c>
      <c r="E23" s="13">
        <v>9</v>
      </c>
      <c r="F23" s="62" t="s">
        <v>801</v>
      </c>
      <c r="G23" s="62" t="s">
        <v>806</v>
      </c>
      <c r="H23" s="68"/>
      <c r="K23" s="13">
        <f t="shared" si="1"/>
        <v>37</v>
      </c>
      <c r="L23" s="13" t="s">
        <v>843</v>
      </c>
      <c r="N23"/>
      <c r="O23"/>
      <c r="P23"/>
    </row>
    <row r="24" spans="2:16" x14ac:dyDescent="0.35">
      <c r="B24" s="13" t="s">
        <v>20</v>
      </c>
      <c r="C24" s="13">
        <v>23</v>
      </c>
      <c r="D24" s="13" t="str">
        <f t="shared" si="0"/>
        <v>18-25</v>
      </c>
      <c r="E24" s="13">
        <v>9</v>
      </c>
      <c r="F24" s="62" t="s">
        <v>801</v>
      </c>
      <c r="G24" s="62" t="s">
        <v>806</v>
      </c>
      <c r="H24" s="68"/>
      <c r="K24" s="13">
        <f t="shared" si="1"/>
        <v>38</v>
      </c>
      <c r="L24" s="13" t="s">
        <v>843</v>
      </c>
      <c r="N24"/>
      <c r="O24"/>
      <c r="P24"/>
    </row>
    <row r="25" spans="2:16" x14ac:dyDescent="0.35">
      <c r="B25" s="13" t="s">
        <v>20</v>
      </c>
      <c r="C25" s="13">
        <v>21</v>
      </c>
      <c r="D25" s="13" t="str">
        <f t="shared" si="0"/>
        <v>18-25</v>
      </c>
      <c r="E25" s="13">
        <v>10</v>
      </c>
      <c r="F25" s="62" t="s">
        <v>801</v>
      </c>
      <c r="G25" s="62" t="s">
        <v>805</v>
      </c>
      <c r="H25" s="68"/>
      <c r="K25" s="13">
        <f t="shared" si="1"/>
        <v>39</v>
      </c>
      <c r="L25" s="13" t="s">
        <v>843</v>
      </c>
    </row>
    <row r="26" spans="2:16" x14ac:dyDescent="0.35">
      <c r="B26" s="13" t="s">
        <v>20</v>
      </c>
      <c r="C26" s="13">
        <v>33</v>
      </c>
      <c r="D26" s="13" t="str">
        <f t="shared" si="0"/>
        <v>26-35</v>
      </c>
      <c r="E26" s="13">
        <v>9</v>
      </c>
      <c r="F26" s="62" t="s">
        <v>801</v>
      </c>
      <c r="G26" s="62" t="s">
        <v>807</v>
      </c>
      <c r="H26" s="68"/>
      <c r="K26" s="13">
        <f t="shared" si="1"/>
        <v>40</v>
      </c>
      <c r="L26" s="13" t="s">
        <v>843</v>
      </c>
    </row>
    <row r="27" spans="2:16" x14ac:dyDescent="0.35">
      <c r="B27" s="13" t="s">
        <v>20</v>
      </c>
      <c r="C27" s="13">
        <v>35</v>
      </c>
      <c r="D27" s="13" t="str">
        <f t="shared" si="0"/>
        <v>26-35</v>
      </c>
      <c r="E27" s="13">
        <v>7</v>
      </c>
      <c r="F27" s="62" t="s">
        <v>801</v>
      </c>
      <c r="G27" s="62" t="s">
        <v>807</v>
      </c>
      <c r="H27" s="68"/>
      <c r="K27" s="13">
        <f t="shared" si="1"/>
        <v>41</v>
      </c>
      <c r="L27" s="13" t="s">
        <v>843</v>
      </c>
    </row>
    <row r="28" spans="2:16" x14ac:dyDescent="0.35">
      <c r="B28" s="13" t="s">
        <v>20</v>
      </c>
      <c r="C28" s="13">
        <v>27</v>
      </c>
      <c r="D28" s="13" t="str">
        <f t="shared" si="0"/>
        <v>26-35</v>
      </c>
      <c r="E28" s="13">
        <v>7</v>
      </c>
      <c r="F28" s="62" t="s">
        <v>799</v>
      </c>
      <c r="G28" s="62" t="s">
        <v>809</v>
      </c>
      <c r="H28" s="62" t="s">
        <v>803</v>
      </c>
      <c r="K28" s="13">
        <f t="shared" si="1"/>
        <v>42</v>
      </c>
      <c r="L28" s="13" t="s">
        <v>843</v>
      </c>
    </row>
    <row r="29" spans="2:16" x14ac:dyDescent="0.35">
      <c r="B29" s="13" t="s">
        <v>20</v>
      </c>
      <c r="C29" s="13">
        <v>26</v>
      </c>
      <c r="D29" s="13" t="str">
        <f t="shared" si="0"/>
        <v>26-35</v>
      </c>
      <c r="E29" s="13">
        <v>2</v>
      </c>
      <c r="F29" s="62" t="s">
        <v>799</v>
      </c>
      <c r="G29" s="62" t="s">
        <v>808</v>
      </c>
      <c r="H29" s="62" t="s">
        <v>803</v>
      </c>
      <c r="K29" s="13">
        <f t="shared" si="1"/>
        <v>43</v>
      </c>
      <c r="L29" s="13" t="s">
        <v>843</v>
      </c>
    </row>
    <row r="30" spans="2:16" x14ac:dyDescent="0.35">
      <c r="B30" s="13" t="s">
        <v>20</v>
      </c>
      <c r="C30" s="13">
        <v>26</v>
      </c>
      <c r="D30" s="13" t="str">
        <f t="shared" si="0"/>
        <v>26-35</v>
      </c>
      <c r="E30" s="13">
        <v>9</v>
      </c>
      <c r="F30" s="62" t="s">
        <v>799</v>
      </c>
      <c r="G30" s="62" t="s">
        <v>806</v>
      </c>
      <c r="H30" s="68"/>
      <c r="K30" s="13">
        <f t="shared" si="1"/>
        <v>44</v>
      </c>
      <c r="L30" s="13" t="s">
        <v>843</v>
      </c>
    </row>
    <row r="31" spans="2:16" x14ac:dyDescent="0.35">
      <c r="B31" s="13" t="s">
        <v>20</v>
      </c>
      <c r="C31" s="13">
        <v>29</v>
      </c>
      <c r="D31" s="13" t="str">
        <f t="shared" si="0"/>
        <v>26-35</v>
      </c>
      <c r="E31" s="13">
        <v>9</v>
      </c>
      <c r="F31" s="62" t="s">
        <v>799</v>
      </c>
      <c r="G31" s="62" t="s">
        <v>805</v>
      </c>
      <c r="H31" s="68"/>
      <c r="K31" s="13">
        <f t="shared" si="1"/>
        <v>45</v>
      </c>
      <c r="L31" s="13" t="s">
        <v>843</v>
      </c>
    </row>
    <row r="32" spans="2:16" x14ac:dyDescent="0.35">
      <c r="B32" s="13" t="s">
        <v>20</v>
      </c>
      <c r="C32" s="13">
        <v>29</v>
      </c>
      <c r="D32" s="13" t="str">
        <f t="shared" si="0"/>
        <v>26-35</v>
      </c>
      <c r="E32" s="13">
        <v>9</v>
      </c>
      <c r="F32" s="62" t="s">
        <v>800</v>
      </c>
      <c r="G32" s="62" t="s">
        <v>808</v>
      </c>
      <c r="H32" s="62" t="s">
        <v>813</v>
      </c>
      <c r="K32" s="13">
        <f t="shared" si="1"/>
        <v>46</v>
      </c>
      <c r="L32" s="13" t="s">
        <v>844</v>
      </c>
    </row>
    <row r="33" spans="2:12" x14ac:dyDescent="0.35">
      <c r="B33" s="13" t="s">
        <v>20</v>
      </c>
      <c r="C33" s="13">
        <v>27</v>
      </c>
      <c r="D33" s="13" t="str">
        <f t="shared" si="0"/>
        <v>26-35</v>
      </c>
      <c r="E33" s="13">
        <v>7</v>
      </c>
      <c r="F33" s="62" t="s">
        <v>800</v>
      </c>
      <c r="G33" s="62" t="s">
        <v>806</v>
      </c>
      <c r="H33" s="68"/>
      <c r="K33" s="13">
        <f t="shared" si="1"/>
        <v>47</v>
      </c>
      <c r="L33" s="13" t="s">
        <v>844</v>
      </c>
    </row>
    <row r="34" spans="2:12" x14ac:dyDescent="0.35">
      <c r="B34" s="13" t="s">
        <v>20</v>
      </c>
      <c r="C34" s="13">
        <v>31</v>
      </c>
      <c r="D34" s="13" t="str">
        <f t="shared" si="0"/>
        <v>26-35</v>
      </c>
      <c r="E34" s="13">
        <v>10</v>
      </c>
      <c r="F34" s="62" t="s">
        <v>800</v>
      </c>
      <c r="G34" s="62" t="s">
        <v>805</v>
      </c>
      <c r="H34" s="68"/>
      <c r="K34" s="13">
        <f t="shared" si="1"/>
        <v>48</v>
      </c>
      <c r="L34" s="13" t="s">
        <v>844</v>
      </c>
    </row>
    <row r="35" spans="2:12" x14ac:dyDescent="0.35">
      <c r="B35" s="13" t="s">
        <v>20</v>
      </c>
      <c r="C35" s="13">
        <v>26</v>
      </c>
      <c r="D35" s="13" t="str">
        <f t="shared" si="0"/>
        <v>26-35</v>
      </c>
      <c r="E35" s="13">
        <v>9</v>
      </c>
      <c r="F35" s="62" t="s">
        <v>800</v>
      </c>
      <c r="G35" s="62" t="s">
        <v>805</v>
      </c>
      <c r="H35" s="68"/>
      <c r="K35" s="13">
        <f t="shared" si="1"/>
        <v>49</v>
      </c>
      <c r="L35" s="13" t="s">
        <v>844</v>
      </c>
    </row>
    <row r="36" spans="2:12" x14ac:dyDescent="0.35">
      <c r="B36" s="13" t="s">
        <v>20</v>
      </c>
      <c r="C36" s="13">
        <v>28</v>
      </c>
      <c r="D36" s="13" t="str">
        <f t="shared" si="0"/>
        <v>26-35</v>
      </c>
      <c r="E36" s="13">
        <v>10</v>
      </c>
      <c r="F36" s="62" t="s">
        <v>997</v>
      </c>
      <c r="G36" s="62" t="s">
        <v>807</v>
      </c>
      <c r="H36" s="68"/>
      <c r="K36" s="13">
        <f t="shared" si="1"/>
        <v>50</v>
      </c>
      <c r="L36" s="13" t="s">
        <v>844</v>
      </c>
    </row>
    <row r="37" spans="2:12" x14ac:dyDescent="0.35">
      <c r="B37" s="13" t="s">
        <v>20</v>
      </c>
      <c r="C37" s="13">
        <v>29</v>
      </c>
      <c r="D37" s="13" t="str">
        <f t="shared" si="0"/>
        <v>26-35</v>
      </c>
      <c r="E37" s="13">
        <v>9</v>
      </c>
      <c r="F37" s="62" t="s">
        <v>997</v>
      </c>
      <c r="G37" s="62" t="s">
        <v>807</v>
      </c>
      <c r="H37" s="68"/>
      <c r="K37" s="13">
        <f t="shared" si="1"/>
        <v>51</v>
      </c>
      <c r="L37" s="13" t="s">
        <v>844</v>
      </c>
    </row>
    <row r="38" spans="2:12" x14ac:dyDescent="0.35">
      <c r="B38" s="13" t="s">
        <v>20</v>
      </c>
      <c r="C38" s="13">
        <v>33</v>
      </c>
      <c r="D38" s="13" t="str">
        <f t="shared" si="0"/>
        <v>26-35</v>
      </c>
      <c r="E38" s="13">
        <v>9</v>
      </c>
      <c r="F38" s="62" t="s">
        <v>997</v>
      </c>
      <c r="G38" s="62" t="s">
        <v>807</v>
      </c>
      <c r="H38" s="68"/>
      <c r="K38" s="13">
        <f t="shared" si="1"/>
        <v>52</v>
      </c>
      <c r="L38" s="13" t="s">
        <v>844</v>
      </c>
    </row>
    <row r="39" spans="2:12" x14ac:dyDescent="0.35">
      <c r="B39" s="13" t="s">
        <v>20</v>
      </c>
      <c r="C39" s="13">
        <v>28</v>
      </c>
      <c r="D39" s="13" t="str">
        <f t="shared" si="0"/>
        <v>26-35</v>
      </c>
      <c r="E39" s="13">
        <v>7</v>
      </c>
      <c r="F39" s="62" t="s">
        <v>997</v>
      </c>
      <c r="G39" s="62" t="s">
        <v>807</v>
      </c>
      <c r="H39" s="68"/>
      <c r="K39" s="13">
        <f t="shared" si="1"/>
        <v>53</v>
      </c>
      <c r="L39" s="13" t="s">
        <v>844</v>
      </c>
    </row>
    <row r="40" spans="2:12" x14ac:dyDescent="0.35">
      <c r="B40" s="13" t="s">
        <v>20</v>
      </c>
      <c r="C40" s="13">
        <v>30</v>
      </c>
      <c r="D40" s="13" t="str">
        <f t="shared" si="0"/>
        <v>26-35</v>
      </c>
      <c r="E40" s="13">
        <v>4</v>
      </c>
      <c r="F40" s="62" t="s">
        <v>997</v>
      </c>
      <c r="G40" s="62" t="s">
        <v>808</v>
      </c>
      <c r="H40" s="62" t="s">
        <v>814</v>
      </c>
      <c r="K40" s="13">
        <f t="shared" si="1"/>
        <v>54</v>
      </c>
      <c r="L40" s="13" t="s">
        <v>844</v>
      </c>
    </row>
    <row r="41" spans="2:12" x14ac:dyDescent="0.35">
      <c r="B41" s="13" t="s">
        <v>20</v>
      </c>
      <c r="C41" s="13">
        <v>29</v>
      </c>
      <c r="D41" s="13" t="str">
        <f t="shared" si="0"/>
        <v>26-35</v>
      </c>
      <c r="E41" s="13">
        <v>10</v>
      </c>
      <c r="F41" s="62" t="s">
        <v>802</v>
      </c>
      <c r="G41" s="62" t="s">
        <v>807</v>
      </c>
      <c r="H41" s="68"/>
      <c r="K41" s="13">
        <f t="shared" si="1"/>
        <v>55</v>
      </c>
      <c r="L41" s="13" t="s">
        <v>844</v>
      </c>
    </row>
    <row r="42" spans="2:12" x14ac:dyDescent="0.35">
      <c r="B42" s="13" t="s">
        <v>20</v>
      </c>
      <c r="C42" s="13">
        <v>29</v>
      </c>
      <c r="D42" s="13" t="str">
        <f t="shared" si="0"/>
        <v>26-35</v>
      </c>
      <c r="E42" s="13">
        <v>9</v>
      </c>
      <c r="F42" s="62" t="s">
        <v>802</v>
      </c>
      <c r="G42" s="62" t="s">
        <v>807</v>
      </c>
      <c r="H42" s="68"/>
      <c r="K42" s="13">
        <f t="shared" si="1"/>
        <v>56</v>
      </c>
      <c r="L42" s="13" t="s">
        <v>845</v>
      </c>
    </row>
    <row r="43" spans="2:12" x14ac:dyDescent="0.35">
      <c r="B43" s="13" t="s">
        <v>20</v>
      </c>
      <c r="C43" s="13">
        <v>26</v>
      </c>
      <c r="D43" s="13" t="str">
        <f t="shared" si="0"/>
        <v>26-35</v>
      </c>
      <c r="E43" s="13">
        <v>9</v>
      </c>
      <c r="F43" s="62" t="s">
        <v>802</v>
      </c>
      <c r="G43" s="62" t="s">
        <v>806</v>
      </c>
      <c r="H43" s="68"/>
      <c r="K43" s="13">
        <f t="shared" si="1"/>
        <v>57</v>
      </c>
      <c r="L43" s="13" t="s">
        <v>845</v>
      </c>
    </row>
    <row r="44" spans="2:12" x14ac:dyDescent="0.35">
      <c r="B44" s="13" t="s">
        <v>20</v>
      </c>
      <c r="C44" s="13">
        <v>29</v>
      </c>
      <c r="D44" s="13" t="str">
        <f t="shared" si="0"/>
        <v>26-35</v>
      </c>
      <c r="E44" s="13">
        <v>6</v>
      </c>
      <c r="F44" s="62" t="s">
        <v>802</v>
      </c>
      <c r="G44" s="62" t="s">
        <v>806</v>
      </c>
      <c r="H44" s="68"/>
      <c r="K44" s="13">
        <f t="shared" si="1"/>
        <v>58</v>
      </c>
      <c r="L44" s="13" t="s">
        <v>845</v>
      </c>
    </row>
    <row r="45" spans="2:12" x14ac:dyDescent="0.35">
      <c r="B45" s="13" t="s">
        <v>20</v>
      </c>
      <c r="C45" s="13">
        <v>35</v>
      </c>
      <c r="D45" s="13" t="str">
        <f t="shared" si="0"/>
        <v>26-35</v>
      </c>
      <c r="E45" s="13">
        <v>4</v>
      </c>
      <c r="F45" s="62" t="s">
        <v>802</v>
      </c>
      <c r="G45" s="62" t="s">
        <v>806</v>
      </c>
      <c r="H45" s="68"/>
      <c r="K45" s="13">
        <f t="shared" si="1"/>
        <v>59</v>
      </c>
      <c r="L45" s="13" t="s">
        <v>845</v>
      </c>
    </row>
    <row r="46" spans="2:12" x14ac:dyDescent="0.35">
      <c r="B46" s="13" t="s">
        <v>20</v>
      </c>
      <c r="C46" s="13">
        <v>33</v>
      </c>
      <c r="D46" s="13" t="str">
        <f t="shared" si="0"/>
        <v>26-35</v>
      </c>
      <c r="E46" s="13">
        <v>8</v>
      </c>
      <c r="F46" s="62" t="s">
        <v>802</v>
      </c>
      <c r="G46" s="62" t="s">
        <v>805</v>
      </c>
      <c r="H46" s="68"/>
      <c r="K46" s="13">
        <f t="shared" si="1"/>
        <v>60</v>
      </c>
      <c r="L46" s="13" t="s">
        <v>845</v>
      </c>
    </row>
    <row r="47" spans="2:12" x14ac:dyDescent="0.35">
      <c r="B47" s="13" t="s">
        <v>20</v>
      </c>
      <c r="C47" s="13">
        <v>31</v>
      </c>
      <c r="D47" s="13" t="str">
        <f t="shared" si="0"/>
        <v>26-35</v>
      </c>
      <c r="E47" s="13">
        <v>9</v>
      </c>
      <c r="F47" s="62" t="s">
        <v>803</v>
      </c>
      <c r="G47" s="62" t="s">
        <v>807</v>
      </c>
      <c r="H47" s="68"/>
      <c r="K47" s="13">
        <f t="shared" si="1"/>
        <v>61</v>
      </c>
      <c r="L47" s="13" t="s">
        <v>845</v>
      </c>
    </row>
    <row r="48" spans="2:12" x14ac:dyDescent="0.35">
      <c r="B48" s="13" t="s">
        <v>20</v>
      </c>
      <c r="C48" s="13">
        <v>26</v>
      </c>
      <c r="D48" s="13" t="str">
        <f t="shared" si="0"/>
        <v>26-35</v>
      </c>
      <c r="E48" s="13">
        <v>6</v>
      </c>
      <c r="F48" s="62" t="s">
        <v>803</v>
      </c>
      <c r="G48" s="62" t="s">
        <v>807</v>
      </c>
      <c r="H48" s="68"/>
      <c r="K48" s="13">
        <f t="shared" si="1"/>
        <v>62</v>
      </c>
      <c r="L48" s="13" t="s">
        <v>845</v>
      </c>
    </row>
    <row r="49" spans="2:12" x14ac:dyDescent="0.35">
      <c r="B49" s="13" t="s">
        <v>20</v>
      </c>
      <c r="C49" s="13">
        <v>27</v>
      </c>
      <c r="D49" s="13" t="str">
        <f t="shared" si="0"/>
        <v>26-35</v>
      </c>
      <c r="E49" s="13">
        <v>9</v>
      </c>
      <c r="F49" s="62" t="s">
        <v>803</v>
      </c>
      <c r="G49" s="62" t="s">
        <v>808</v>
      </c>
      <c r="H49" s="62" t="s">
        <v>813</v>
      </c>
      <c r="K49" s="13">
        <f t="shared" si="1"/>
        <v>63</v>
      </c>
      <c r="L49" s="13" t="s">
        <v>845</v>
      </c>
    </row>
    <row r="50" spans="2:12" x14ac:dyDescent="0.35">
      <c r="B50" s="13" t="s">
        <v>20</v>
      </c>
      <c r="C50" s="13">
        <v>26</v>
      </c>
      <c r="D50" s="13" t="str">
        <f t="shared" si="0"/>
        <v>26-35</v>
      </c>
      <c r="E50" s="13">
        <v>8</v>
      </c>
      <c r="F50" s="62" t="s">
        <v>803</v>
      </c>
      <c r="G50" s="62" t="s">
        <v>805</v>
      </c>
      <c r="H50" s="68"/>
      <c r="K50" s="13">
        <f t="shared" si="1"/>
        <v>64</v>
      </c>
      <c r="L50" s="13" t="s">
        <v>845</v>
      </c>
    </row>
    <row r="51" spans="2:12" x14ac:dyDescent="0.35">
      <c r="B51" s="13" t="s">
        <v>20</v>
      </c>
      <c r="C51" s="13">
        <v>27</v>
      </c>
      <c r="D51" s="13" t="str">
        <f t="shared" si="0"/>
        <v>26-35</v>
      </c>
      <c r="E51" s="13">
        <v>10</v>
      </c>
      <c r="F51" s="62" t="s">
        <v>801</v>
      </c>
      <c r="G51" s="62" t="s">
        <v>807</v>
      </c>
      <c r="H51" s="68"/>
      <c r="K51" s="13">
        <f t="shared" si="1"/>
        <v>65</v>
      </c>
      <c r="L51" s="13" t="s">
        <v>845</v>
      </c>
    </row>
    <row r="52" spans="2:12" x14ac:dyDescent="0.35">
      <c r="B52" s="13" t="s">
        <v>20</v>
      </c>
      <c r="C52" s="13">
        <v>31</v>
      </c>
      <c r="D52" s="13" t="str">
        <f t="shared" si="0"/>
        <v>26-35</v>
      </c>
      <c r="E52" s="13">
        <v>10</v>
      </c>
      <c r="F52" s="62" t="s">
        <v>801</v>
      </c>
      <c r="G52" s="62" t="s">
        <v>807</v>
      </c>
      <c r="H52" s="68"/>
    </row>
    <row r="53" spans="2:12" x14ac:dyDescent="0.35">
      <c r="B53" s="13" t="s">
        <v>20</v>
      </c>
      <c r="C53" s="13">
        <v>33</v>
      </c>
      <c r="D53" s="13" t="str">
        <f t="shared" si="0"/>
        <v>26-35</v>
      </c>
      <c r="E53" s="13">
        <v>10</v>
      </c>
      <c r="F53" s="62" t="s">
        <v>801</v>
      </c>
      <c r="G53" s="62" t="s">
        <v>807</v>
      </c>
      <c r="H53" s="68"/>
    </row>
    <row r="54" spans="2:12" x14ac:dyDescent="0.35">
      <c r="B54" s="13" t="s">
        <v>20</v>
      </c>
      <c r="C54" s="13">
        <v>27</v>
      </c>
      <c r="D54" s="13" t="str">
        <f t="shared" si="0"/>
        <v>26-35</v>
      </c>
      <c r="E54" s="13">
        <v>7</v>
      </c>
      <c r="F54" s="62" t="s">
        <v>801</v>
      </c>
      <c r="G54" s="62" t="s">
        <v>807</v>
      </c>
      <c r="H54" s="68"/>
    </row>
    <row r="55" spans="2:12" x14ac:dyDescent="0.35">
      <c r="B55" s="13" t="s">
        <v>20</v>
      </c>
      <c r="C55" s="13">
        <v>34</v>
      </c>
      <c r="D55" s="13" t="str">
        <f t="shared" si="0"/>
        <v>26-35</v>
      </c>
      <c r="E55" s="13">
        <v>6</v>
      </c>
      <c r="F55" s="62" t="s">
        <v>801</v>
      </c>
      <c r="G55" s="62" t="s">
        <v>806</v>
      </c>
      <c r="H55" s="68"/>
    </row>
    <row r="56" spans="2:12" x14ac:dyDescent="0.35">
      <c r="B56" s="13" t="s">
        <v>20</v>
      </c>
      <c r="C56" s="13">
        <v>29</v>
      </c>
      <c r="D56" s="13" t="str">
        <f t="shared" si="0"/>
        <v>26-35</v>
      </c>
      <c r="E56" s="13">
        <v>9</v>
      </c>
      <c r="F56" s="62" t="s">
        <v>801</v>
      </c>
      <c r="G56" s="62" t="s">
        <v>805</v>
      </c>
      <c r="H56" s="68"/>
    </row>
    <row r="57" spans="2:12" x14ac:dyDescent="0.35">
      <c r="B57" s="13" t="s">
        <v>20</v>
      </c>
      <c r="C57" s="13">
        <v>29</v>
      </c>
      <c r="D57" s="13" t="str">
        <f t="shared" si="0"/>
        <v>26-35</v>
      </c>
      <c r="E57" s="13">
        <v>9</v>
      </c>
      <c r="F57" s="62" t="s">
        <v>801</v>
      </c>
      <c r="G57" s="62" t="s">
        <v>805</v>
      </c>
      <c r="H57" s="68"/>
    </row>
    <row r="58" spans="2:12" x14ac:dyDescent="0.35">
      <c r="B58" s="13" t="s">
        <v>20</v>
      </c>
      <c r="C58" s="13">
        <v>28</v>
      </c>
      <c r="D58" s="13" t="str">
        <f t="shared" si="0"/>
        <v>26-35</v>
      </c>
      <c r="E58" s="13">
        <v>8</v>
      </c>
      <c r="F58" s="62" t="s">
        <v>801</v>
      </c>
      <c r="G58" s="62" t="s">
        <v>805</v>
      </c>
      <c r="H58" s="68"/>
    </row>
    <row r="59" spans="2:12" x14ac:dyDescent="0.35">
      <c r="B59" s="13" t="s">
        <v>20</v>
      </c>
      <c r="C59" s="13">
        <v>42</v>
      </c>
      <c r="D59" s="13" t="str">
        <f t="shared" si="0"/>
        <v>36-45</v>
      </c>
      <c r="E59" s="13">
        <v>10</v>
      </c>
      <c r="F59" s="62" t="s">
        <v>799</v>
      </c>
      <c r="G59" s="62" t="s">
        <v>807</v>
      </c>
      <c r="H59" s="68"/>
    </row>
    <row r="60" spans="2:12" x14ac:dyDescent="0.35">
      <c r="B60" s="13" t="s">
        <v>20</v>
      </c>
      <c r="C60" s="13">
        <v>43</v>
      </c>
      <c r="D60" s="13" t="str">
        <f t="shared" si="0"/>
        <v>36-45</v>
      </c>
      <c r="E60" s="13">
        <v>10</v>
      </c>
      <c r="F60" s="62" t="s">
        <v>800</v>
      </c>
      <c r="G60" s="62" t="s">
        <v>807</v>
      </c>
      <c r="H60" s="68"/>
    </row>
    <row r="61" spans="2:12" x14ac:dyDescent="0.35">
      <c r="B61" s="13" t="s">
        <v>20</v>
      </c>
      <c r="C61" s="13">
        <v>43</v>
      </c>
      <c r="D61" s="13" t="str">
        <f t="shared" si="0"/>
        <v>36-45</v>
      </c>
      <c r="E61" s="13">
        <v>7</v>
      </c>
      <c r="F61" s="62" t="s">
        <v>800</v>
      </c>
      <c r="G61" s="62" t="s">
        <v>809</v>
      </c>
      <c r="H61" s="62" t="s">
        <v>812</v>
      </c>
    </row>
    <row r="62" spans="2:12" x14ac:dyDescent="0.35">
      <c r="B62" s="13" t="s">
        <v>20</v>
      </c>
      <c r="C62" s="13">
        <v>44</v>
      </c>
      <c r="D62" s="13" t="str">
        <f t="shared" si="0"/>
        <v>36-45</v>
      </c>
      <c r="E62" s="13">
        <v>10</v>
      </c>
      <c r="F62" s="62" t="s">
        <v>800</v>
      </c>
      <c r="G62" s="62" t="s">
        <v>808</v>
      </c>
      <c r="H62" s="62" t="s">
        <v>813</v>
      </c>
    </row>
    <row r="63" spans="2:12" x14ac:dyDescent="0.35">
      <c r="B63" s="13" t="s">
        <v>20</v>
      </c>
      <c r="C63" s="13">
        <v>40</v>
      </c>
      <c r="D63" s="13" t="str">
        <f t="shared" si="0"/>
        <v>36-45</v>
      </c>
      <c r="E63" s="13">
        <v>7</v>
      </c>
      <c r="F63" s="62" t="s">
        <v>800</v>
      </c>
      <c r="G63" s="62" t="s">
        <v>805</v>
      </c>
      <c r="H63" s="68"/>
    </row>
    <row r="64" spans="2:12" x14ac:dyDescent="0.35">
      <c r="B64" s="13" t="s">
        <v>20</v>
      </c>
      <c r="C64" s="13">
        <v>40</v>
      </c>
      <c r="D64" s="13" t="str">
        <f t="shared" si="0"/>
        <v>36-45</v>
      </c>
      <c r="E64" s="13">
        <v>10</v>
      </c>
      <c r="F64" s="62" t="s">
        <v>997</v>
      </c>
      <c r="G64" s="62" t="s">
        <v>805</v>
      </c>
      <c r="H64" s="68"/>
    </row>
    <row r="65" spans="2:8" x14ac:dyDescent="0.35">
      <c r="B65" s="13" t="s">
        <v>20</v>
      </c>
      <c r="C65" s="13">
        <v>42</v>
      </c>
      <c r="D65" s="13" t="str">
        <f t="shared" si="0"/>
        <v>36-45</v>
      </c>
      <c r="E65" s="13">
        <v>9</v>
      </c>
      <c r="F65" s="62" t="s">
        <v>997</v>
      </c>
      <c r="G65" s="62" t="s">
        <v>805</v>
      </c>
      <c r="H65" s="68"/>
    </row>
    <row r="66" spans="2:8" x14ac:dyDescent="0.35">
      <c r="B66" s="13" t="s">
        <v>20</v>
      </c>
      <c r="C66" s="13">
        <v>45</v>
      </c>
      <c r="D66" s="13" t="str">
        <f t="shared" si="0"/>
        <v>36-45</v>
      </c>
      <c r="E66" s="13">
        <v>9</v>
      </c>
      <c r="F66" s="62" t="s">
        <v>997</v>
      </c>
      <c r="G66" s="62" t="s">
        <v>805</v>
      </c>
      <c r="H66" s="68"/>
    </row>
    <row r="67" spans="2:8" x14ac:dyDescent="0.35">
      <c r="B67" s="13" t="s">
        <v>20</v>
      </c>
      <c r="C67" s="13">
        <v>41</v>
      </c>
      <c r="D67" s="13" t="str">
        <f t="shared" si="0"/>
        <v>36-45</v>
      </c>
      <c r="E67" s="13">
        <v>7</v>
      </c>
      <c r="F67" s="62" t="s">
        <v>802</v>
      </c>
      <c r="G67" s="62" t="s">
        <v>807</v>
      </c>
      <c r="H67" s="68"/>
    </row>
    <row r="68" spans="2:8" x14ac:dyDescent="0.35">
      <c r="B68" s="13" t="s">
        <v>20</v>
      </c>
      <c r="C68" s="13">
        <v>42</v>
      </c>
      <c r="D68" s="13" t="str">
        <f t="shared" si="0"/>
        <v>36-45</v>
      </c>
      <c r="E68" s="13">
        <v>7</v>
      </c>
      <c r="F68" s="62" t="s">
        <v>802</v>
      </c>
      <c r="G68" s="62" t="s">
        <v>806</v>
      </c>
      <c r="H68" s="68"/>
    </row>
    <row r="69" spans="2:8" x14ac:dyDescent="0.35">
      <c r="B69" s="13" t="s">
        <v>20</v>
      </c>
      <c r="C69" s="13">
        <v>39</v>
      </c>
      <c r="D69" s="13" t="str">
        <f t="shared" si="0"/>
        <v>36-45</v>
      </c>
      <c r="E69" s="13">
        <v>5</v>
      </c>
      <c r="F69" s="62" t="s">
        <v>802</v>
      </c>
      <c r="G69" s="62" t="s">
        <v>806</v>
      </c>
      <c r="H69" s="68"/>
    </row>
    <row r="70" spans="2:8" x14ac:dyDescent="0.35">
      <c r="B70" s="13" t="s">
        <v>20</v>
      </c>
      <c r="C70" s="13">
        <v>38</v>
      </c>
      <c r="D70" s="13" t="str">
        <f t="shared" si="0"/>
        <v>36-45</v>
      </c>
      <c r="E70" s="13">
        <v>10</v>
      </c>
      <c r="F70" s="62" t="s">
        <v>801</v>
      </c>
      <c r="G70" s="62" t="s">
        <v>807</v>
      </c>
      <c r="H70" s="68"/>
    </row>
    <row r="71" spans="2:8" x14ac:dyDescent="0.35">
      <c r="B71" s="13" t="s">
        <v>20</v>
      </c>
      <c r="C71" s="13">
        <v>37</v>
      </c>
      <c r="D71" s="13" t="str">
        <f t="shared" ref="D71:D134" si="2">VLOOKUP(C71,$K$7:$L$511,2,FALSE)</f>
        <v>36-45</v>
      </c>
      <c r="E71" s="13">
        <v>9</v>
      </c>
      <c r="F71" s="62" t="s">
        <v>801</v>
      </c>
      <c r="G71" s="62" t="s">
        <v>807</v>
      </c>
      <c r="H71" s="68"/>
    </row>
    <row r="72" spans="2:8" x14ac:dyDescent="0.35">
      <c r="B72" s="13" t="s">
        <v>20</v>
      </c>
      <c r="C72" s="13">
        <v>37</v>
      </c>
      <c r="D72" s="13" t="str">
        <f t="shared" si="2"/>
        <v>36-45</v>
      </c>
      <c r="E72" s="13">
        <v>9</v>
      </c>
      <c r="F72" s="62" t="s">
        <v>801</v>
      </c>
      <c r="G72" s="62" t="s">
        <v>807</v>
      </c>
      <c r="H72" s="68"/>
    </row>
    <row r="73" spans="2:8" x14ac:dyDescent="0.35">
      <c r="B73" s="13" t="s">
        <v>20</v>
      </c>
      <c r="C73" s="13">
        <v>39</v>
      </c>
      <c r="D73" s="13" t="str">
        <f t="shared" si="2"/>
        <v>36-45</v>
      </c>
      <c r="E73" s="13">
        <v>5</v>
      </c>
      <c r="F73" s="62" t="s">
        <v>801</v>
      </c>
      <c r="G73" s="62" t="s">
        <v>809</v>
      </c>
      <c r="H73" s="62" t="s">
        <v>811</v>
      </c>
    </row>
    <row r="74" spans="2:8" x14ac:dyDescent="0.35">
      <c r="B74" s="13" t="s">
        <v>20</v>
      </c>
      <c r="C74" s="13">
        <v>38</v>
      </c>
      <c r="D74" s="13" t="str">
        <f t="shared" si="2"/>
        <v>36-45</v>
      </c>
      <c r="E74" s="13">
        <v>10</v>
      </c>
      <c r="F74" s="62" t="s">
        <v>801</v>
      </c>
      <c r="G74" s="62" t="s">
        <v>806</v>
      </c>
      <c r="H74" s="68"/>
    </row>
    <row r="75" spans="2:8" x14ac:dyDescent="0.35">
      <c r="B75" s="13" t="s">
        <v>20</v>
      </c>
      <c r="C75" s="13">
        <v>53</v>
      </c>
      <c r="D75" s="13" t="str">
        <f t="shared" si="2"/>
        <v>46-55</v>
      </c>
      <c r="E75" s="13">
        <v>10</v>
      </c>
      <c r="F75" s="62" t="s">
        <v>799</v>
      </c>
      <c r="G75" s="62" t="s">
        <v>807</v>
      </c>
      <c r="H75" s="68"/>
    </row>
    <row r="76" spans="2:8" x14ac:dyDescent="0.35">
      <c r="B76" s="13" t="s">
        <v>20</v>
      </c>
      <c r="C76" s="13">
        <v>49</v>
      </c>
      <c r="D76" s="13" t="str">
        <f t="shared" si="2"/>
        <v>46-55</v>
      </c>
      <c r="E76" s="13">
        <v>9</v>
      </c>
      <c r="F76" s="62" t="s">
        <v>799</v>
      </c>
      <c r="G76" s="62" t="s">
        <v>807</v>
      </c>
      <c r="H76" s="68"/>
    </row>
    <row r="77" spans="2:8" x14ac:dyDescent="0.35">
      <c r="B77" s="13" t="s">
        <v>20</v>
      </c>
      <c r="C77" s="13">
        <v>54</v>
      </c>
      <c r="D77" s="13" t="str">
        <f t="shared" si="2"/>
        <v>46-55</v>
      </c>
      <c r="E77" s="13">
        <v>1</v>
      </c>
      <c r="F77" s="62" t="s">
        <v>799</v>
      </c>
      <c r="G77" s="62" t="s">
        <v>808</v>
      </c>
      <c r="H77" s="68"/>
    </row>
    <row r="78" spans="2:8" x14ac:dyDescent="0.35">
      <c r="B78" s="13" t="s">
        <v>20</v>
      </c>
      <c r="C78" s="13">
        <v>50</v>
      </c>
      <c r="D78" s="13" t="str">
        <f t="shared" si="2"/>
        <v>46-55</v>
      </c>
      <c r="E78" s="13">
        <v>9</v>
      </c>
      <c r="F78" s="62" t="s">
        <v>800</v>
      </c>
      <c r="G78" s="62" t="s">
        <v>807</v>
      </c>
      <c r="H78" s="68"/>
    </row>
    <row r="79" spans="2:8" x14ac:dyDescent="0.35">
      <c r="B79" s="13" t="s">
        <v>20</v>
      </c>
      <c r="C79" s="13">
        <v>46</v>
      </c>
      <c r="D79" s="13" t="str">
        <f t="shared" si="2"/>
        <v>46-55</v>
      </c>
      <c r="E79" s="13">
        <v>7</v>
      </c>
      <c r="F79" s="62" t="s">
        <v>800</v>
      </c>
      <c r="G79" s="62" t="s">
        <v>807</v>
      </c>
      <c r="H79" s="68"/>
    </row>
    <row r="80" spans="2:8" x14ac:dyDescent="0.35">
      <c r="B80" s="13" t="s">
        <v>20</v>
      </c>
      <c r="C80" s="13">
        <v>49</v>
      </c>
      <c r="D80" s="13" t="str">
        <f t="shared" si="2"/>
        <v>46-55</v>
      </c>
      <c r="E80" s="13">
        <v>9</v>
      </c>
      <c r="F80" s="62" t="s">
        <v>997</v>
      </c>
      <c r="G80" s="62" t="s">
        <v>807</v>
      </c>
      <c r="H80" s="68"/>
    </row>
    <row r="81" spans="2:8" x14ac:dyDescent="0.35">
      <c r="B81" s="13" t="s">
        <v>20</v>
      </c>
      <c r="C81" s="13">
        <v>50</v>
      </c>
      <c r="D81" s="13" t="str">
        <f t="shared" si="2"/>
        <v>46-55</v>
      </c>
      <c r="E81" s="13">
        <v>9</v>
      </c>
      <c r="F81" s="62" t="s">
        <v>997</v>
      </c>
      <c r="G81" s="62" t="s">
        <v>806</v>
      </c>
      <c r="H81" s="68"/>
    </row>
    <row r="82" spans="2:8" x14ac:dyDescent="0.35">
      <c r="B82" s="13" t="s">
        <v>20</v>
      </c>
      <c r="C82" s="13">
        <v>53</v>
      </c>
      <c r="D82" s="13" t="str">
        <f t="shared" si="2"/>
        <v>46-55</v>
      </c>
      <c r="E82" s="13">
        <v>7</v>
      </c>
      <c r="F82" s="62" t="s">
        <v>997</v>
      </c>
      <c r="G82" s="62" t="s">
        <v>805</v>
      </c>
      <c r="H82" s="68"/>
    </row>
    <row r="83" spans="2:8" x14ac:dyDescent="0.35">
      <c r="B83" s="13" t="s">
        <v>20</v>
      </c>
      <c r="C83" s="13">
        <v>47</v>
      </c>
      <c r="D83" s="13" t="str">
        <f t="shared" si="2"/>
        <v>46-55</v>
      </c>
      <c r="E83" s="13">
        <v>7</v>
      </c>
      <c r="F83" s="62" t="s">
        <v>802</v>
      </c>
      <c r="G83" s="62" t="s">
        <v>806</v>
      </c>
      <c r="H83" s="68"/>
    </row>
    <row r="84" spans="2:8" x14ac:dyDescent="0.35">
      <c r="B84" s="13" t="s">
        <v>20</v>
      </c>
      <c r="C84" s="13">
        <v>51</v>
      </c>
      <c r="D84" s="13" t="str">
        <f t="shared" si="2"/>
        <v>46-55</v>
      </c>
      <c r="E84" s="13">
        <v>8</v>
      </c>
      <c r="F84" s="62" t="s">
        <v>803</v>
      </c>
      <c r="G84" s="62" t="s">
        <v>805</v>
      </c>
      <c r="H84" s="68"/>
    </row>
    <row r="85" spans="2:8" x14ac:dyDescent="0.35">
      <c r="B85" s="13" t="s">
        <v>20</v>
      </c>
      <c r="C85" s="13">
        <v>51</v>
      </c>
      <c r="D85" s="13" t="str">
        <f t="shared" si="2"/>
        <v>46-55</v>
      </c>
      <c r="E85" s="13">
        <v>8</v>
      </c>
      <c r="F85" s="62" t="s">
        <v>801</v>
      </c>
      <c r="G85" s="62" t="s">
        <v>807</v>
      </c>
      <c r="H85" s="68"/>
    </row>
    <row r="86" spans="2:8" x14ac:dyDescent="0.35">
      <c r="B86" s="13" t="s">
        <v>20</v>
      </c>
      <c r="C86" s="13">
        <v>63</v>
      </c>
      <c r="D86" s="13" t="str">
        <f t="shared" si="2"/>
        <v>55+</v>
      </c>
      <c r="E86" s="13">
        <v>8</v>
      </c>
      <c r="F86" s="62" t="s">
        <v>799</v>
      </c>
      <c r="G86" s="62" t="s">
        <v>807</v>
      </c>
      <c r="H86" s="68"/>
    </row>
    <row r="87" spans="2:8" x14ac:dyDescent="0.35">
      <c r="B87" s="13" t="s">
        <v>20</v>
      </c>
      <c r="C87" s="13">
        <v>63</v>
      </c>
      <c r="D87" s="13" t="str">
        <f t="shared" si="2"/>
        <v>55+</v>
      </c>
      <c r="E87" s="13">
        <v>7</v>
      </c>
      <c r="F87" s="62" t="s">
        <v>799</v>
      </c>
      <c r="G87" s="62" t="s">
        <v>807</v>
      </c>
      <c r="H87" s="68"/>
    </row>
    <row r="88" spans="2:8" x14ac:dyDescent="0.35">
      <c r="B88" s="13" t="s">
        <v>20</v>
      </c>
      <c r="C88" s="13">
        <v>65</v>
      </c>
      <c r="D88" s="13" t="str">
        <f t="shared" si="2"/>
        <v>55+</v>
      </c>
      <c r="E88" s="13">
        <v>7</v>
      </c>
      <c r="F88" s="62" t="s">
        <v>799</v>
      </c>
      <c r="G88" s="62" t="s">
        <v>807</v>
      </c>
      <c r="H88" s="68"/>
    </row>
    <row r="89" spans="2:8" x14ac:dyDescent="0.35">
      <c r="B89" s="13" t="s">
        <v>20</v>
      </c>
      <c r="C89" s="13">
        <v>61</v>
      </c>
      <c r="D89" s="13" t="str">
        <f t="shared" si="2"/>
        <v>55+</v>
      </c>
      <c r="E89" s="13">
        <v>5</v>
      </c>
      <c r="F89" s="62" t="s">
        <v>799</v>
      </c>
      <c r="G89" s="62" t="s">
        <v>809</v>
      </c>
      <c r="H89" s="62" t="s">
        <v>811</v>
      </c>
    </row>
    <row r="90" spans="2:8" x14ac:dyDescent="0.35">
      <c r="B90" s="13" t="s">
        <v>20</v>
      </c>
      <c r="C90" s="13">
        <v>57</v>
      </c>
      <c r="D90" s="13" t="str">
        <f t="shared" si="2"/>
        <v>55+</v>
      </c>
      <c r="E90" s="13">
        <v>10</v>
      </c>
      <c r="F90" s="62" t="s">
        <v>997</v>
      </c>
      <c r="G90" s="62" t="s">
        <v>807</v>
      </c>
      <c r="H90" s="68"/>
    </row>
    <row r="91" spans="2:8" x14ac:dyDescent="0.35">
      <c r="B91" s="13" t="s">
        <v>20</v>
      </c>
      <c r="C91" s="13">
        <v>57</v>
      </c>
      <c r="D91" s="13" t="str">
        <f t="shared" si="2"/>
        <v>55+</v>
      </c>
      <c r="E91" s="13">
        <v>9</v>
      </c>
      <c r="F91" s="62" t="s">
        <v>802</v>
      </c>
      <c r="G91" s="62" t="s">
        <v>807</v>
      </c>
      <c r="H91" s="68"/>
    </row>
    <row r="92" spans="2:8" x14ac:dyDescent="0.35">
      <c r="B92" s="13" t="s">
        <v>20</v>
      </c>
      <c r="C92" s="13">
        <v>61</v>
      </c>
      <c r="D92" s="13" t="str">
        <f t="shared" si="2"/>
        <v>55+</v>
      </c>
      <c r="E92" s="13">
        <v>0</v>
      </c>
      <c r="F92" s="62" t="s">
        <v>802</v>
      </c>
      <c r="G92" s="62" t="s">
        <v>808</v>
      </c>
      <c r="H92" s="62" t="s">
        <v>812</v>
      </c>
    </row>
    <row r="93" spans="2:8" x14ac:dyDescent="0.35">
      <c r="B93" s="13" t="s">
        <v>20</v>
      </c>
      <c r="C93" s="13">
        <v>61</v>
      </c>
      <c r="D93" s="13" t="str">
        <f t="shared" si="2"/>
        <v>55+</v>
      </c>
      <c r="E93" s="13">
        <v>5</v>
      </c>
      <c r="F93" s="62" t="s">
        <v>803</v>
      </c>
      <c r="G93" s="62" t="s">
        <v>809</v>
      </c>
      <c r="H93" s="62" t="s">
        <v>813</v>
      </c>
    </row>
    <row r="94" spans="2:8" x14ac:dyDescent="0.35">
      <c r="B94" s="13" t="s">
        <v>20</v>
      </c>
      <c r="C94" s="13">
        <v>65</v>
      </c>
      <c r="D94" s="13" t="str">
        <f t="shared" si="2"/>
        <v>55+</v>
      </c>
      <c r="E94" s="13">
        <v>10</v>
      </c>
      <c r="F94" s="62" t="s">
        <v>801</v>
      </c>
      <c r="G94" s="62" t="s">
        <v>806</v>
      </c>
      <c r="H94" s="68"/>
    </row>
    <row r="95" spans="2:8" x14ac:dyDescent="0.35">
      <c r="B95" s="13" t="s">
        <v>20</v>
      </c>
      <c r="C95" s="13">
        <v>58</v>
      </c>
      <c r="D95" s="13" t="str">
        <f t="shared" si="2"/>
        <v>55+</v>
      </c>
      <c r="E95" s="13">
        <v>10</v>
      </c>
      <c r="F95" s="62" t="s">
        <v>801</v>
      </c>
      <c r="G95" s="62" t="s">
        <v>805</v>
      </c>
      <c r="H95" s="68"/>
    </row>
    <row r="96" spans="2:8" x14ac:dyDescent="0.35">
      <c r="B96" s="13" t="s">
        <v>31</v>
      </c>
      <c r="C96" s="13">
        <v>21</v>
      </c>
      <c r="D96" s="13" t="str">
        <f t="shared" si="2"/>
        <v>18-25</v>
      </c>
      <c r="E96" s="13">
        <v>10</v>
      </c>
      <c r="F96" s="62" t="s">
        <v>799</v>
      </c>
      <c r="G96" s="62" t="s">
        <v>807</v>
      </c>
      <c r="H96" s="68"/>
    </row>
    <row r="97" spans="2:8" x14ac:dyDescent="0.35">
      <c r="B97" s="13" t="s">
        <v>31</v>
      </c>
      <c r="C97" s="13">
        <v>25</v>
      </c>
      <c r="D97" s="13" t="str">
        <f t="shared" si="2"/>
        <v>18-25</v>
      </c>
      <c r="E97" s="13">
        <v>9</v>
      </c>
      <c r="F97" s="62" t="s">
        <v>799</v>
      </c>
      <c r="G97" s="62" t="s">
        <v>807</v>
      </c>
      <c r="H97" s="68"/>
    </row>
    <row r="98" spans="2:8" x14ac:dyDescent="0.35">
      <c r="B98" s="13" t="s">
        <v>31</v>
      </c>
      <c r="C98" s="13">
        <v>21</v>
      </c>
      <c r="D98" s="13" t="str">
        <f t="shared" si="2"/>
        <v>18-25</v>
      </c>
      <c r="E98" s="13">
        <v>5</v>
      </c>
      <c r="F98" s="62" t="s">
        <v>799</v>
      </c>
      <c r="G98" s="62" t="s">
        <v>808</v>
      </c>
      <c r="H98" s="62" t="s">
        <v>811</v>
      </c>
    </row>
    <row r="99" spans="2:8" x14ac:dyDescent="0.35">
      <c r="B99" s="13" t="s">
        <v>31</v>
      </c>
      <c r="C99" s="13">
        <v>23</v>
      </c>
      <c r="D99" s="13" t="str">
        <f t="shared" si="2"/>
        <v>18-25</v>
      </c>
      <c r="E99" s="13">
        <v>10</v>
      </c>
      <c r="F99" s="62" t="s">
        <v>799</v>
      </c>
      <c r="G99" s="62" t="s">
        <v>805</v>
      </c>
      <c r="H99" s="68"/>
    </row>
    <row r="100" spans="2:8" x14ac:dyDescent="0.35">
      <c r="B100" s="13" t="s">
        <v>31</v>
      </c>
      <c r="C100" s="13">
        <v>25</v>
      </c>
      <c r="D100" s="13" t="str">
        <f t="shared" si="2"/>
        <v>18-25</v>
      </c>
      <c r="E100" s="13">
        <v>9</v>
      </c>
      <c r="F100" s="62" t="s">
        <v>799</v>
      </c>
      <c r="G100" s="62" t="s">
        <v>805</v>
      </c>
      <c r="H100" s="68"/>
    </row>
    <row r="101" spans="2:8" x14ac:dyDescent="0.35">
      <c r="B101" s="13" t="s">
        <v>31</v>
      </c>
      <c r="C101" s="13">
        <v>22</v>
      </c>
      <c r="D101" s="13" t="str">
        <f t="shared" si="2"/>
        <v>18-25</v>
      </c>
      <c r="E101" s="13">
        <v>7</v>
      </c>
      <c r="F101" s="62" t="s">
        <v>800</v>
      </c>
      <c r="G101" s="62" t="s">
        <v>809</v>
      </c>
      <c r="H101" s="62" t="s">
        <v>811</v>
      </c>
    </row>
    <row r="102" spans="2:8" x14ac:dyDescent="0.35">
      <c r="B102" s="13" t="s">
        <v>31</v>
      </c>
      <c r="C102" s="13">
        <v>22</v>
      </c>
      <c r="D102" s="13" t="str">
        <f t="shared" si="2"/>
        <v>18-25</v>
      </c>
      <c r="E102" s="13">
        <v>9</v>
      </c>
      <c r="F102" s="62" t="s">
        <v>800</v>
      </c>
      <c r="G102" s="62" t="s">
        <v>805</v>
      </c>
      <c r="H102" s="68"/>
    </row>
    <row r="103" spans="2:8" x14ac:dyDescent="0.35">
      <c r="B103" s="13" t="s">
        <v>31</v>
      </c>
      <c r="C103" s="13">
        <v>24</v>
      </c>
      <c r="D103" s="13" t="str">
        <f t="shared" si="2"/>
        <v>18-25</v>
      </c>
      <c r="E103" s="13">
        <v>10</v>
      </c>
      <c r="F103" s="62" t="s">
        <v>997</v>
      </c>
      <c r="G103" s="62" t="s">
        <v>807</v>
      </c>
      <c r="H103" s="68"/>
    </row>
    <row r="104" spans="2:8" x14ac:dyDescent="0.35">
      <c r="B104" s="13" t="s">
        <v>31</v>
      </c>
      <c r="C104" s="13">
        <v>25</v>
      </c>
      <c r="D104" s="13" t="str">
        <f t="shared" si="2"/>
        <v>18-25</v>
      </c>
      <c r="E104" s="13">
        <v>10</v>
      </c>
      <c r="F104" s="62" t="s">
        <v>997</v>
      </c>
      <c r="G104" s="62" t="s">
        <v>807</v>
      </c>
      <c r="H104" s="68"/>
    </row>
    <row r="105" spans="2:8" x14ac:dyDescent="0.35">
      <c r="B105" s="13" t="s">
        <v>31</v>
      </c>
      <c r="C105" s="13">
        <v>24</v>
      </c>
      <c r="D105" s="13" t="str">
        <f t="shared" si="2"/>
        <v>18-25</v>
      </c>
      <c r="E105" s="13">
        <v>9</v>
      </c>
      <c r="F105" s="62" t="s">
        <v>997</v>
      </c>
      <c r="G105" s="62" t="s">
        <v>807</v>
      </c>
      <c r="H105" s="68"/>
    </row>
    <row r="106" spans="2:8" x14ac:dyDescent="0.35">
      <c r="B106" s="13" t="s">
        <v>31</v>
      </c>
      <c r="C106" s="13">
        <v>25</v>
      </c>
      <c r="D106" s="13" t="str">
        <f t="shared" si="2"/>
        <v>18-25</v>
      </c>
      <c r="E106" s="13">
        <v>9</v>
      </c>
      <c r="F106" s="62" t="s">
        <v>997</v>
      </c>
      <c r="G106" s="62" t="s">
        <v>807</v>
      </c>
      <c r="H106" s="68"/>
    </row>
    <row r="107" spans="2:8" x14ac:dyDescent="0.35">
      <c r="B107" s="13" t="s">
        <v>31</v>
      </c>
      <c r="C107" s="13">
        <v>23</v>
      </c>
      <c r="D107" s="13" t="str">
        <f t="shared" si="2"/>
        <v>18-25</v>
      </c>
      <c r="E107" s="13">
        <v>8</v>
      </c>
      <c r="F107" s="62" t="s">
        <v>997</v>
      </c>
      <c r="G107" s="62" t="s">
        <v>807</v>
      </c>
      <c r="H107" s="68"/>
    </row>
    <row r="108" spans="2:8" x14ac:dyDescent="0.35">
      <c r="B108" s="13" t="s">
        <v>31</v>
      </c>
      <c r="C108" s="13">
        <v>24</v>
      </c>
      <c r="D108" s="13" t="str">
        <f t="shared" si="2"/>
        <v>18-25</v>
      </c>
      <c r="E108" s="13">
        <v>7</v>
      </c>
      <c r="F108" s="62" t="s">
        <v>997</v>
      </c>
      <c r="G108" s="62" t="s">
        <v>807</v>
      </c>
      <c r="H108" s="68"/>
    </row>
    <row r="109" spans="2:8" x14ac:dyDescent="0.35">
      <c r="B109" s="13" t="s">
        <v>31</v>
      </c>
      <c r="C109" s="13">
        <v>25</v>
      </c>
      <c r="D109" s="13" t="str">
        <f t="shared" si="2"/>
        <v>18-25</v>
      </c>
      <c r="E109" s="13">
        <v>10</v>
      </c>
      <c r="F109" s="62" t="s">
        <v>997</v>
      </c>
      <c r="G109" s="62" t="s">
        <v>808</v>
      </c>
      <c r="H109" s="62" t="s">
        <v>813</v>
      </c>
    </row>
    <row r="110" spans="2:8" x14ac:dyDescent="0.35">
      <c r="B110" s="13" t="s">
        <v>31</v>
      </c>
      <c r="C110" s="13">
        <v>23</v>
      </c>
      <c r="D110" s="13" t="str">
        <f t="shared" si="2"/>
        <v>18-25</v>
      </c>
      <c r="E110" s="13">
        <v>10</v>
      </c>
      <c r="F110" s="62" t="s">
        <v>997</v>
      </c>
      <c r="G110" s="62" t="s">
        <v>805</v>
      </c>
      <c r="H110" s="68"/>
    </row>
    <row r="111" spans="2:8" x14ac:dyDescent="0.35">
      <c r="B111" s="13" t="s">
        <v>31</v>
      </c>
      <c r="C111" s="13">
        <v>24</v>
      </c>
      <c r="D111" s="13" t="str">
        <f t="shared" si="2"/>
        <v>18-25</v>
      </c>
      <c r="E111" s="13">
        <v>9</v>
      </c>
      <c r="F111" s="62" t="s">
        <v>997</v>
      </c>
      <c r="G111" s="62" t="s">
        <v>805</v>
      </c>
      <c r="H111" s="68"/>
    </row>
    <row r="112" spans="2:8" x14ac:dyDescent="0.35">
      <c r="B112" s="13" t="s">
        <v>31</v>
      </c>
      <c r="C112" s="13">
        <v>21</v>
      </c>
      <c r="D112" s="13" t="str">
        <f t="shared" si="2"/>
        <v>18-25</v>
      </c>
      <c r="E112" s="13">
        <v>8</v>
      </c>
      <c r="F112" s="62" t="s">
        <v>997</v>
      </c>
      <c r="G112" s="62" t="s">
        <v>805</v>
      </c>
      <c r="H112" s="68"/>
    </row>
    <row r="113" spans="2:8" x14ac:dyDescent="0.35">
      <c r="B113" s="13" t="s">
        <v>31</v>
      </c>
      <c r="C113" s="13">
        <v>25</v>
      </c>
      <c r="D113" s="13" t="str">
        <f t="shared" si="2"/>
        <v>18-25</v>
      </c>
      <c r="E113" s="13">
        <v>8</v>
      </c>
      <c r="F113" s="62" t="s">
        <v>997</v>
      </c>
      <c r="G113" s="62" t="s">
        <v>805</v>
      </c>
      <c r="H113" s="68"/>
    </row>
    <row r="114" spans="2:8" x14ac:dyDescent="0.35">
      <c r="B114" s="13" t="s">
        <v>31</v>
      </c>
      <c r="C114" s="13">
        <v>25</v>
      </c>
      <c r="D114" s="13" t="str">
        <f t="shared" si="2"/>
        <v>18-25</v>
      </c>
      <c r="E114" s="13">
        <v>10</v>
      </c>
      <c r="F114" s="62" t="s">
        <v>997</v>
      </c>
      <c r="G114" s="62" t="s">
        <v>807</v>
      </c>
      <c r="H114" s="68"/>
    </row>
    <row r="115" spans="2:8" x14ac:dyDescent="0.35">
      <c r="B115" s="13" t="s">
        <v>31</v>
      </c>
      <c r="C115" s="13">
        <v>21</v>
      </c>
      <c r="D115" s="13" t="str">
        <f t="shared" si="2"/>
        <v>18-25</v>
      </c>
      <c r="E115" s="13">
        <v>9</v>
      </c>
      <c r="F115" s="62" t="s">
        <v>997</v>
      </c>
      <c r="G115" s="62" t="s">
        <v>807</v>
      </c>
      <c r="H115" s="68"/>
    </row>
    <row r="116" spans="2:8" x14ac:dyDescent="0.35">
      <c r="B116" s="13" t="s">
        <v>31</v>
      </c>
      <c r="C116" s="13">
        <v>22</v>
      </c>
      <c r="D116" s="13" t="str">
        <f t="shared" si="2"/>
        <v>18-25</v>
      </c>
      <c r="E116" s="13">
        <v>9</v>
      </c>
      <c r="F116" s="62" t="s">
        <v>802</v>
      </c>
      <c r="G116" s="62" t="s">
        <v>807</v>
      </c>
      <c r="H116" s="68"/>
    </row>
    <row r="117" spans="2:8" x14ac:dyDescent="0.35">
      <c r="B117" s="13" t="s">
        <v>31</v>
      </c>
      <c r="C117" s="13">
        <v>22</v>
      </c>
      <c r="D117" s="13" t="str">
        <f t="shared" si="2"/>
        <v>18-25</v>
      </c>
      <c r="E117" s="13">
        <v>7</v>
      </c>
      <c r="F117" s="62" t="s">
        <v>802</v>
      </c>
      <c r="G117" s="62" t="s">
        <v>807</v>
      </c>
      <c r="H117" s="68"/>
    </row>
    <row r="118" spans="2:8" x14ac:dyDescent="0.35">
      <c r="B118" s="13" t="s">
        <v>31</v>
      </c>
      <c r="C118" s="13">
        <v>24</v>
      </c>
      <c r="D118" s="13" t="str">
        <f t="shared" si="2"/>
        <v>18-25</v>
      </c>
      <c r="E118" s="13">
        <v>7</v>
      </c>
      <c r="F118" s="62" t="s">
        <v>802</v>
      </c>
      <c r="G118" s="62" t="s">
        <v>807</v>
      </c>
      <c r="H118" s="68"/>
    </row>
    <row r="119" spans="2:8" x14ac:dyDescent="0.35">
      <c r="B119" s="13" t="s">
        <v>31</v>
      </c>
      <c r="C119" s="13">
        <v>25</v>
      </c>
      <c r="D119" s="13" t="str">
        <f t="shared" si="2"/>
        <v>18-25</v>
      </c>
      <c r="E119" s="13">
        <v>4</v>
      </c>
      <c r="F119" s="62" t="s">
        <v>802</v>
      </c>
      <c r="G119" s="62" t="s">
        <v>809</v>
      </c>
      <c r="H119" s="62" t="s">
        <v>811</v>
      </c>
    </row>
    <row r="120" spans="2:8" x14ac:dyDescent="0.35">
      <c r="B120" s="13" t="s">
        <v>31</v>
      </c>
      <c r="C120" s="13">
        <v>21</v>
      </c>
      <c r="D120" s="13" t="str">
        <f t="shared" si="2"/>
        <v>18-25</v>
      </c>
      <c r="E120" s="13">
        <v>3</v>
      </c>
      <c r="F120" s="62" t="s">
        <v>802</v>
      </c>
      <c r="G120" s="62" t="s">
        <v>809</v>
      </c>
      <c r="H120" s="62" t="s">
        <v>811</v>
      </c>
    </row>
    <row r="121" spans="2:8" x14ac:dyDescent="0.35">
      <c r="B121" s="13" t="s">
        <v>31</v>
      </c>
      <c r="C121" s="13">
        <v>24</v>
      </c>
      <c r="D121" s="13" t="str">
        <f t="shared" si="2"/>
        <v>18-25</v>
      </c>
      <c r="E121" s="13">
        <v>7</v>
      </c>
      <c r="F121" s="62" t="s">
        <v>802</v>
      </c>
      <c r="G121" s="62" t="s">
        <v>806</v>
      </c>
      <c r="H121" s="68"/>
    </row>
    <row r="122" spans="2:8" x14ac:dyDescent="0.35">
      <c r="B122" s="13" t="s">
        <v>31</v>
      </c>
      <c r="C122" s="13">
        <v>22</v>
      </c>
      <c r="D122" s="13" t="str">
        <f t="shared" si="2"/>
        <v>18-25</v>
      </c>
      <c r="E122" s="13">
        <v>9</v>
      </c>
      <c r="F122" s="62" t="s">
        <v>802</v>
      </c>
      <c r="G122" s="62" t="s">
        <v>805</v>
      </c>
      <c r="H122" s="68"/>
    </row>
    <row r="123" spans="2:8" x14ac:dyDescent="0.35">
      <c r="B123" s="13" t="s">
        <v>31</v>
      </c>
      <c r="C123" s="13">
        <v>25</v>
      </c>
      <c r="D123" s="13" t="str">
        <f t="shared" si="2"/>
        <v>18-25</v>
      </c>
      <c r="E123" s="13">
        <v>8</v>
      </c>
      <c r="F123" s="62" t="s">
        <v>802</v>
      </c>
      <c r="G123" s="62" t="s">
        <v>805</v>
      </c>
      <c r="H123" s="68"/>
    </row>
    <row r="124" spans="2:8" x14ac:dyDescent="0.35">
      <c r="B124" s="13" t="s">
        <v>31</v>
      </c>
      <c r="C124" s="13">
        <v>25</v>
      </c>
      <c r="D124" s="13" t="str">
        <f t="shared" si="2"/>
        <v>18-25</v>
      </c>
      <c r="E124" s="13">
        <v>10</v>
      </c>
      <c r="F124" s="62" t="s">
        <v>997</v>
      </c>
      <c r="G124" s="62" t="s">
        <v>807</v>
      </c>
      <c r="H124" s="68"/>
    </row>
    <row r="125" spans="2:8" x14ac:dyDescent="0.35">
      <c r="B125" s="13" t="s">
        <v>31</v>
      </c>
      <c r="C125" s="13">
        <v>23</v>
      </c>
      <c r="D125" s="13" t="str">
        <f t="shared" si="2"/>
        <v>18-25</v>
      </c>
      <c r="E125" s="13">
        <v>8</v>
      </c>
      <c r="F125" s="62" t="s">
        <v>997</v>
      </c>
      <c r="G125" s="62" t="s">
        <v>807</v>
      </c>
      <c r="H125" s="68"/>
    </row>
    <row r="126" spans="2:8" x14ac:dyDescent="0.35">
      <c r="B126" s="13" t="s">
        <v>31</v>
      </c>
      <c r="C126" s="13">
        <v>25</v>
      </c>
      <c r="D126" s="13" t="str">
        <f t="shared" si="2"/>
        <v>18-25</v>
      </c>
      <c r="E126" s="13">
        <v>7</v>
      </c>
      <c r="F126" s="62" t="s">
        <v>997</v>
      </c>
      <c r="G126" s="62" t="s">
        <v>809</v>
      </c>
      <c r="H126" s="62" t="s">
        <v>811</v>
      </c>
    </row>
    <row r="127" spans="2:8" x14ac:dyDescent="0.35">
      <c r="B127" s="13" t="s">
        <v>31</v>
      </c>
      <c r="C127" s="13">
        <v>23</v>
      </c>
      <c r="D127" s="13" t="str">
        <f t="shared" si="2"/>
        <v>18-25</v>
      </c>
      <c r="E127" s="13">
        <v>8</v>
      </c>
      <c r="F127" s="62" t="s">
        <v>803</v>
      </c>
      <c r="G127" s="62" t="s">
        <v>808</v>
      </c>
      <c r="H127" s="62" t="s">
        <v>813</v>
      </c>
    </row>
    <row r="128" spans="2:8" x14ac:dyDescent="0.35">
      <c r="B128" s="13" t="s">
        <v>31</v>
      </c>
      <c r="C128" s="13">
        <v>23</v>
      </c>
      <c r="D128" s="13" t="str">
        <f t="shared" si="2"/>
        <v>18-25</v>
      </c>
      <c r="E128" s="13">
        <v>9</v>
      </c>
      <c r="F128" s="62" t="s">
        <v>803</v>
      </c>
      <c r="G128" s="62" t="s">
        <v>806</v>
      </c>
      <c r="H128" s="68"/>
    </row>
    <row r="129" spans="2:8" x14ac:dyDescent="0.35">
      <c r="B129" s="13" t="s">
        <v>31</v>
      </c>
      <c r="C129" s="13">
        <v>23</v>
      </c>
      <c r="D129" s="13" t="str">
        <f t="shared" si="2"/>
        <v>18-25</v>
      </c>
      <c r="E129" s="13">
        <v>8</v>
      </c>
      <c r="F129" s="62" t="s">
        <v>803</v>
      </c>
      <c r="G129" s="62" t="s">
        <v>806</v>
      </c>
      <c r="H129" s="68"/>
    </row>
    <row r="130" spans="2:8" x14ac:dyDescent="0.35">
      <c r="B130" s="13" t="s">
        <v>31</v>
      </c>
      <c r="C130" s="13">
        <v>24</v>
      </c>
      <c r="D130" s="13" t="str">
        <f t="shared" si="2"/>
        <v>18-25</v>
      </c>
      <c r="E130" s="13">
        <v>8</v>
      </c>
      <c r="F130" s="62" t="s">
        <v>803</v>
      </c>
      <c r="G130" s="62" t="s">
        <v>806</v>
      </c>
      <c r="H130" s="68"/>
    </row>
    <row r="131" spans="2:8" x14ac:dyDescent="0.35">
      <c r="B131" s="13" t="s">
        <v>31</v>
      </c>
      <c r="C131" s="13">
        <v>24</v>
      </c>
      <c r="D131" s="13" t="str">
        <f t="shared" si="2"/>
        <v>18-25</v>
      </c>
      <c r="E131" s="13">
        <v>7</v>
      </c>
      <c r="F131" s="62" t="s">
        <v>803</v>
      </c>
      <c r="G131" s="62" t="s">
        <v>806</v>
      </c>
      <c r="H131" s="68"/>
    </row>
    <row r="132" spans="2:8" x14ac:dyDescent="0.35">
      <c r="B132" s="13" t="s">
        <v>31</v>
      </c>
      <c r="C132" s="13">
        <v>24</v>
      </c>
      <c r="D132" s="13" t="str">
        <f t="shared" si="2"/>
        <v>18-25</v>
      </c>
      <c r="E132" s="13">
        <v>10</v>
      </c>
      <c r="F132" s="62" t="s">
        <v>803</v>
      </c>
      <c r="G132" s="62" t="s">
        <v>805</v>
      </c>
      <c r="H132" s="68"/>
    </row>
    <row r="133" spans="2:8" x14ac:dyDescent="0.35">
      <c r="B133" s="13" t="s">
        <v>31</v>
      </c>
      <c r="C133" s="13">
        <v>23</v>
      </c>
      <c r="D133" s="13" t="str">
        <f t="shared" si="2"/>
        <v>18-25</v>
      </c>
      <c r="E133" s="13">
        <v>9</v>
      </c>
      <c r="F133" s="62" t="s">
        <v>803</v>
      </c>
      <c r="G133" s="62" t="s">
        <v>805</v>
      </c>
      <c r="H133" s="68"/>
    </row>
    <row r="134" spans="2:8" x14ac:dyDescent="0.35">
      <c r="B134" s="13" t="s">
        <v>31</v>
      </c>
      <c r="C134" s="13">
        <v>23</v>
      </c>
      <c r="D134" s="13" t="str">
        <f t="shared" si="2"/>
        <v>18-25</v>
      </c>
      <c r="E134" s="13">
        <v>9</v>
      </c>
      <c r="F134" s="62" t="s">
        <v>803</v>
      </c>
      <c r="G134" s="62" t="s">
        <v>805</v>
      </c>
      <c r="H134" s="68"/>
    </row>
    <row r="135" spans="2:8" x14ac:dyDescent="0.35">
      <c r="B135" s="13" t="s">
        <v>31</v>
      </c>
      <c r="C135" s="13">
        <v>21</v>
      </c>
      <c r="D135" s="13" t="str">
        <f t="shared" ref="D135:D197" si="3">VLOOKUP(C135,$K$7:$L$511,2,FALSE)</f>
        <v>18-25</v>
      </c>
      <c r="E135" s="13">
        <v>10</v>
      </c>
      <c r="F135" s="62" t="s">
        <v>801</v>
      </c>
      <c r="G135" s="62" t="s">
        <v>807</v>
      </c>
      <c r="H135" s="68"/>
    </row>
    <row r="136" spans="2:8" x14ac:dyDescent="0.35">
      <c r="B136" s="13" t="s">
        <v>31</v>
      </c>
      <c r="C136" s="13">
        <v>22</v>
      </c>
      <c r="D136" s="13" t="str">
        <f t="shared" si="3"/>
        <v>18-25</v>
      </c>
      <c r="E136" s="13">
        <v>10</v>
      </c>
      <c r="F136" s="62" t="s">
        <v>801</v>
      </c>
      <c r="G136" s="62" t="s">
        <v>807</v>
      </c>
      <c r="H136" s="68"/>
    </row>
    <row r="137" spans="2:8" x14ac:dyDescent="0.35">
      <c r="B137" s="13" t="s">
        <v>31</v>
      </c>
      <c r="C137" s="13">
        <v>23</v>
      </c>
      <c r="D137" s="13" t="str">
        <f t="shared" si="3"/>
        <v>18-25</v>
      </c>
      <c r="E137" s="13">
        <v>10</v>
      </c>
      <c r="F137" s="62" t="s">
        <v>801</v>
      </c>
      <c r="G137" s="62" t="s">
        <v>807</v>
      </c>
      <c r="H137" s="68"/>
    </row>
    <row r="138" spans="2:8" x14ac:dyDescent="0.35">
      <c r="B138" s="13" t="s">
        <v>31</v>
      </c>
      <c r="C138" s="13">
        <v>22</v>
      </c>
      <c r="D138" s="13" t="str">
        <f t="shared" si="3"/>
        <v>18-25</v>
      </c>
      <c r="E138" s="13">
        <v>9</v>
      </c>
      <c r="F138" s="62" t="s">
        <v>801</v>
      </c>
      <c r="G138" s="62" t="s">
        <v>805</v>
      </c>
      <c r="H138" s="68"/>
    </row>
    <row r="139" spans="2:8" x14ac:dyDescent="0.35">
      <c r="B139" s="13" t="s">
        <v>31</v>
      </c>
      <c r="C139" s="13">
        <v>24</v>
      </c>
      <c r="D139" s="13" t="str">
        <f t="shared" si="3"/>
        <v>18-25</v>
      </c>
      <c r="E139" s="13">
        <v>9</v>
      </c>
      <c r="F139" s="62" t="s">
        <v>801</v>
      </c>
      <c r="G139" s="62" t="s">
        <v>805</v>
      </c>
      <c r="H139" s="68"/>
    </row>
    <row r="140" spans="2:8" x14ac:dyDescent="0.35">
      <c r="B140" s="13" t="s">
        <v>31</v>
      </c>
      <c r="C140" s="13">
        <v>26</v>
      </c>
      <c r="D140" s="13" t="str">
        <f t="shared" si="3"/>
        <v>26-35</v>
      </c>
      <c r="E140" s="13">
        <v>9</v>
      </c>
      <c r="F140" s="62" t="s">
        <v>799</v>
      </c>
      <c r="G140" s="62" t="s">
        <v>807</v>
      </c>
      <c r="H140" s="68"/>
    </row>
    <row r="141" spans="2:8" x14ac:dyDescent="0.35">
      <c r="B141" s="13" t="s">
        <v>31</v>
      </c>
      <c r="C141" s="13">
        <v>26</v>
      </c>
      <c r="D141" s="13" t="str">
        <f t="shared" si="3"/>
        <v>26-35</v>
      </c>
      <c r="E141" s="13">
        <v>10</v>
      </c>
      <c r="F141" s="62" t="s">
        <v>799</v>
      </c>
      <c r="G141" s="62" t="s">
        <v>805</v>
      </c>
      <c r="H141" s="68"/>
    </row>
    <row r="142" spans="2:8" x14ac:dyDescent="0.35">
      <c r="B142" s="13" t="s">
        <v>31</v>
      </c>
      <c r="C142" s="13">
        <v>35</v>
      </c>
      <c r="D142" s="13" t="str">
        <f t="shared" si="3"/>
        <v>26-35</v>
      </c>
      <c r="E142" s="13">
        <v>10</v>
      </c>
      <c r="F142" s="62" t="s">
        <v>799</v>
      </c>
      <c r="G142" s="62" t="s">
        <v>805</v>
      </c>
      <c r="H142" s="68"/>
    </row>
    <row r="143" spans="2:8" x14ac:dyDescent="0.35">
      <c r="B143" s="13" t="s">
        <v>31</v>
      </c>
      <c r="C143" s="13">
        <v>28</v>
      </c>
      <c r="D143" s="13" t="str">
        <f t="shared" si="3"/>
        <v>26-35</v>
      </c>
      <c r="E143" s="13">
        <v>9</v>
      </c>
      <c r="F143" s="62" t="s">
        <v>799</v>
      </c>
      <c r="G143" s="62" t="s">
        <v>805</v>
      </c>
      <c r="H143" s="68"/>
    </row>
    <row r="144" spans="2:8" x14ac:dyDescent="0.35">
      <c r="B144" s="13" t="s">
        <v>31</v>
      </c>
      <c r="C144" s="13">
        <v>31</v>
      </c>
      <c r="D144" s="13" t="str">
        <f t="shared" si="3"/>
        <v>26-35</v>
      </c>
      <c r="E144" s="13">
        <v>7</v>
      </c>
      <c r="F144" s="62" t="s">
        <v>800</v>
      </c>
      <c r="G144" s="62" t="s">
        <v>807</v>
      </c>
      <c r="H144" s="68"/>
    </row>
    <row r="145" spans="2:8" x14ac:dyDescent="0.35">
      <c r="B145" s="13" t="s">
        <v>31</v>
      </c>
      <c r="C145" s="13">
        <v>26</v>
      </c>
      <c r="D145" s="13" t="str">
        <f t="shared" si="3"/>
        <v>26-35</v>
      </c>
      <c r="E145" s="13">
        <v>7</v>
      </c>
      <c r="F145" s="62" t="s">
        <v>800</v>
      </c>
      <c r="G145" s="62" t="s">
        <v>808</v>
      </c>
      <c r="H145" s="62" t="s">
        <v>813</v>
      </c>
    </row>
    <row r="146" spans="2:8" x14ac:dyDescent="0.35">
      <c r="B146" s="13" t="s">
        <v>31</v>
      </c>
      <c r="C146" s="13">
        <v>30</v>
      </c>
      <c r="D146" s="13" t="str">
        <f t="shared" si="3"/>
        <v>26-35</v>
      </c>
      <c r="E146" s="13">
        <v>7</v>
      </c>
      <c r="F146" s="62" t="s">
        <v>800</v>
      </c>
      <c r="G146" s="62" t="s">
        <v>808</v>
      </c>
      <c r="H146" s="62" t="s">
        <v>813</v>
      </c>
    </row>
    <row r="147" spans="2:8" x14ac:dyDescent="0.35">
      <c r="B147" s="13" t="s">
        <v>31</v>
      </c>
      <c r="C147" s="13">
        <v>26</v>
      </c>
      <c r="D147" s="13" t="str">
        <f t="shared" si="3"/>
        <v>26-35</v>
      </c>
      <c r="E147" s="13">
        <v>9</v>
      </c>
      <c r="F147" s="62" t="s">
        <v>800</v>
      </c>
      <c r="G147" s="62" t="s">
        <v>806</v>
      </c>
      <c r="H147" s="68"/>
    </row>
    <row r="148" spans="2:8" x14ac:dyDescent="0.35">
      <c r="B148" s="13" t="s">
        <v>31</v>
      </c>
      <c r="C148" s="13">
        <v>35</v>
      </c>
      <c r="D148" s="13" t="str">
        <f t="shared" si="3"/>
        <v>26-35</v>
      </c>
      <c r="E148" s="13">
        <v>9</v>
      </c>
      <c r="F148" s="62" t="s">
        <v>800</v>
      </c>
      <c r="G148" s="62" t="s">
        <v>806</v>
      </c>
      <c r="H148" s="68"/>
    </row>
    <row r="149" spans="2:8" x14ac:dyDescent="0.35">
      <c r="B149" s="13" t="s">
        <v>31</v>
      </c>
      <c r="C149" s="13">
        <v>29</v>
      </c>
      <c r="D149" s="13" t="str">
        <f t="shared" si="3"/>
        <v>26-35</v>
      </c>
      <c r="E149" s="13">
        <v>9</v>
      </c>
      <c r="F149" s="62" t="s">
        <v>800</v>
      </c>
      <c r="G149" s="62" t="s">
        <v>805</v>
      </c>
      <c r="H149" s="68"/>
    </row>
    <row r="150" spans="2:8" x14ac:dyDescent="0.35">
      <c r="B150" s="13" t="s">
        <v>31</v>
      </c>
      <c r="C150" s="13">
        <v>27</v>
      </c>
      <c r="D150" s="13" t="str">
        <f t="shared" si="3"/>
        <v>26-35</v>
      </c>
      <c r="E150" s="13">
        <v>10</v>
      </c>
      <c r="F150" s="62" t="s">
        <v>997</v>
      </c>
      <c r="G150" s="62" t="s">
        <v>807</v>
      </c>
      <c r="H150" s="68"/>
    </row>
    <row r="151" spans="2:8" x14ac:dyDescent="0.35">
      <c r="B151" s="13" t="s">
        <v>31</v>
      </c>
      <c r="C151" s="13">
        <v>26</v>
      </c>
      <c r="D151" s="13" t="str">
        <f t="shared" si="3"/>
        <v>26-35</v>
      </c>
      <c r="E151" s="13">
        <v>9</v>
      </c>
      <c r="F151" s="62" t="s">
        <v>997</v>
      </c>
      <c r="G151" s="62" t="s">
        <v>807</v>
      </c>
      <c r="H151" s="68"/>
    </row>
    <row r="152" spans="2:8" x14ac:dyDescent="0.35">
      <c r="B152" s="13" t="s">
        <v>31</v>
      </c>
      <c r="C152" s="13">
        <v>26</v>
      </c>
      <c r="D152" s="13" t="str">
        <f t="shared" si="3"/>
        <v>26-35</v>
      </c>
      <c r="E152" s="13">
        <v>9</v>
      </c>
      <c r="F152" s="62" t="s">
        <v>997</v>
      </c>
      <c r="G152" s="62" t="s">
        <v>807</v>
      </c>
      <c r="H152" s="68"/>
    </row>
    <row r="153" spans="2:8" x14ac:dyDescent="0.35">
      <c r="B153" s="13" t="s">
        <v>31</v>
      </c>
      <c r="C153" s="13">
        <v>29</v>
      </c>
      <c r="D153" s="13" t="str">
        <f t="shared" si="3"/>
        <v>26-35</v>
      </c>
      <c r="E153" s="13">
        <v>9</v>
      </c>
      <c r="F153" s="62" t="s">
        <v>997</v>
      </c>
      <c r="G153" s="62" t="s">
        <v>807</v>
      </c>
      <c r="H153" s="68"/>
    </row>
    <row r="154" spans="2:8" x14ac:dyDescent="0.35">
      <c r="B154" s="13" t="s">
        <v>31</v>
      </c>
      <c r="C154" s="13">
        <v>34</v>
      </c>
      <c r="D154" s="13" t="str">
        <f t="shared" si="3"/>
        <v>26-35</v>
      </c>
      <c r="E154" s="13">
        <v>9</v>
      </c>
      <c r="F154" s="62" t="s">
        <v>997</v>
      </c>
      <c r="G154" s="62" t="s">
        <v>807</v>
      </c>
      <c r="H154" s="68"/>
    </row>
    <row r="155" spans="2:8" x14ac:dyDescent="0.35">
      <c r="B155" s="13" t="s">
        <v>31</v>
      </c>
      <c r="C155" s="13">
        <v>29</v>
      </c>
      <c r="D155" s="13" t="str">
        <f t="shared" si="3"/>
        <v>26-35</v>
      </c>
      <c r="E155" s="13">
        <v>8</v>
      </c>
      <c r="F155" s="62" t="s">
        <v>997</v>
      </c>
      <c r="G155" s="62" t="s">
        <v>807</v>
      </c>
      <c r="H155" s="68"/>
    </row>
    <row r="156" spans="2:8" x14ac:dyDescent="0.35">
      <c r="B156" s="13" t="s">
        <v>31</v>
      </c>
      <c r="C156" s="13">
        <v>32</v>
      </c>
      <c r="D156" s="13" t="str">
        <f t="shared" si="3"/>
        <v>26-35</v>
      </c>
      <c r="E156" s="13">
        <v>7</v>
      </c>
      <c r="F156" s="62" t="s">
        <v>997</v>
      </c>
      <c r="G156" s="62" t="s">
        <v>809</v>
      </c>
      <c r="H156" s="62" t="s">
        <v>811</v>
      </c>
    </row>
    <row r="157" spans="2:8" x14ac:dyDescent="0.35">
      <c r="B157" s="13" t="s">
        <v>31</v>
      </c>
      <c r="C157" s="13">
        <v>27</v>
      </c>
      <c r="D157" s="13" t="str">
        <f t="shared" si="3"/>
        <v>26-35</v>
      </c>
      <c r="E157" s="13">
        <v>9</v>
      </c>
      <c r="F157" s="62" t="s">
        <v>997</v>
      </c>
      <c r="G157" s="62" t="s">
        <v>808</v>
      </c>
      <c r="H157" s="62" t="s">
        <v>813</v>
      </c>
    </row>
    <row r="158" spans="2:8" x14ac:dyDescent="0.35">
      <c r="B158" s="13" t="s">
        <v>31</v>
      </c>
      <c r="C158" s="13">
        <v>29</v>
      </c>
      <c r="D158" s="13" t="str">
        <f t="shared" si="3"/>
        <v>26-35</v>
      </c>
      <c r="E158" s="13">
        <v>9</v>
      </c>
      <c r="F158" s="62" t="s">
        <v>997</v>
      </c>
      <c r="G158" s="62" t="s">
        <v>808</v>
      </c>
      <c r="H158" s="62" t="s">
        <v>813</v>
      </c>
    </row>
    <row r="159" spans="2:8" x14ac:dyDescent="0.35">
      <c r="B159" s="13" t="s">
        <v>31</v>
      </c>
      <c r="C159" s="13">
        <v>35</v>
      </c>
      <c r="D159" s="13" t="str">
        <f t="shared" si="3"/>
        <v>26-35</v>
      </c>
      <c r="E159" s="13">
        <v>7</v>
      </c>
      <c r="F159" s="62" t="s">
        <v>997</v>
      </c>
      <c r="G159" s="62" t="s">
        <v>806</v>
      </c>
      <c r="H159" s="68"/>
    </row>
    <row r="160" spans="2:8" x14ac:dyDescent="0.35">
      <c r="B160" s="13" t="s">
        <v>31</v>
      </c>
      <c r="C160" s="13">
        <v>27</v>
      </c>
      <c r="D160" s="13" t="str">
        <f t="shared" si="3"/>
        <v>26-35</v>
      </c>
      <c r="E160" s="13">
        <v>10</v>
      </c>
      <c r="F160" s="62" t="s">
        <v>997</v>
      </c>
      <c r="G160" s="62" t="s">
        <v>805</v>
      </c>
      <c r="H160" s="68"/>
    </row>
    <row r="161" spans="2:8" x14ac:dyDescent="0.35">
      <c r="B161" s="13" t="s">
        <v>31</v>
      </c>
      <c r="C161" s="13">
        <v>28</v>
      </c>
      <c r="D161" s="13" t="str">
        <f t="shared" si="3"/>
        <v>26-35</v>
      </c>
      <c r="E161" s="13">
        <v>9</v>
      </c>
      <c r="F161" s="62" t="s">
        <v>997</v>
      </c>
      <c r="G161" s="62" t="s">
        <v>805</v>
      </c>
      <c r="H161" s="68"/>
    </row>
    <row r="162" spans="2:8" x14ac:dyDescent="0.35">
      <c r="B162" s="13" t="s">
        <v>31</v>
      </c>
      <c r="C162" s="13">
        <v>27</v>
      </c>
      <c r="D162" s="13" t="str">
        <f t="shared" si="3"/>
        <v>26-35</v>
      </c>
      <c r="E162" s="13">
        <v>5</v>
      </c>
      <c r="F162" s="62" t="s">
        <v>997</v>
      </c>
      <c r="G162" s="62" t="s">
        <v>805</v>
      </c>
      <c r="H162" s="68"/>
    </row>
    <row r="163" spans="2:8" x14ac:dyDescent="0.35">
      <c r="B163" s="13" t="s">
        <v>31</v>
      </c>
      <c r="C163" s="13">
        <v>33</v>
      </c>
      <c r="D163" s="13" t="str">
        <f t="shared" si="3"/>
        <v>26-35</v>
      </c>
      <c r="E163" s="13">
        <v>8</v>
      </c>
      <c r="F163" s="62" t="s">
        <v>802</v>
      </c>
      <c r="G163" s="62" t="s">
        <v>807</v>
      </c>
      <c r="H163" s="68"/>
    </row>
    <row r="164" spans="2:8" x14ac:dyDescent="0.35">
      <c r="B164" s="13" t="s">
        <v>31</v>
      </c>
      <c r="C164" s="13">
        <v>30</v>
      </c>
      <c r="D164" s="13" t="str">
        <f t="shared" si="3"/>
        <v>26-35</v>
      </c>
      <c r="E164" s="13">
        <v>7</v>
      </c>
      <c r="F164" s="62" t="s">
        <v>802</v>
      </c>
      <c r="G164" s="62" t="s">
        <v>806</v>
      </c>
      <c r="H164" s="68"/>
    </row>
    <row r="165" spans="2:8" x14ac:dyDescent="0.35">
      <c r="B165" s="13" t="s">
        <v>31</v>
      </c>
      <c r="C165" s="13">
        <v>27</v>
      </c>
      <c r="D165" s="13" t="str">
        <f t="shared" si="3"/>
        <v>26-35</v>
      </c>
      <c r="E165" s="13">
        <v>9</v>
      </c>
      <c r="F165" s="62" t="s">
        <v>802</v>
      </c>
      <c r="G165" s="62" t="s">
        <v>805</v>
      </c>
      <c r="H165" s="68"/>
    </row>
    <row r="166" spans="2:8" x14ac:dyDescent="0.35">
      <c r="B166" s="13" t="s">
        <v>31</v>
      </c>
      <c r="C166" s="13">
        <v>32</v>
      </c>
      <c r="D166" s="13" t="str">
        <f t="shared" si="3"/>
        <v>26-35</v>
      </c>
      <c r="E166" s="13">
        <v>10</v>
      </c>
      <c r="F166" s="62" t="s">
        <v>803</v>
      </c>
      <c r="G166" s="62" t="s">
        <v>807</v>
      </c>
      <c r="H166" s="68"/>
    </row>
    <row r="167" spans="2:8" x14ac:dyDescent="0.35">
      <c r="B167" s="13" t="s">
        <v>31</v>
      </c>
      <c r="C167" s="13">
        <v>27</v>
      </c>
      <c r="D167" s="13" t="str">
        <f t="shared" si="3"/>
        <v>26-35</v>
      </c>
      <c r="E167" s="13">
        <v>9</v>
      </c>
      <c r="F167" s="62" t="s">
        <v>803</v>
      </c>
      <c r="G167" s="62" t="s">
        <v>807</v>
      </c>
      <c r="H167" s="68"/>
    </row>
    <row r="168" spans="2:8" x14ac:dyDescent="0.35">
      <c r="B168" s="13" t="s">
        <v>31</v>
      </c>
      <c r="C168" s="13">
        <v>26</v>
      </c>
      <c r="D168" s="13" t="str">
        <f t="shared" si="3"/>
        <v>26-35</v>
      </c>
      <c r="E168" s="13">
        <v>8</v>
      </c>
      <c r="F168" s="62" t="s">
        <v>803</v>
      </c>
      <c r="G168" s="62" t="s">
        <v>807</v>
      </c>
      <c r="H168" s="68"/>
    </row>
    <row r="169" spans="2:8" x14ac:dyDescent="0.35">
      <c r="B169" s="13" t="s">
        <v>31</v>
      </c>
      <c r="C169" s="13">
        <v>34</v>
      </c>
      <c r="D169" s="13" t="str">
        <f t="shared" si="3"/>
        <v>26-35</v>
      </c>
      <c r="E169" s="13">
        <v>7</v>
      </c>
      <c r="F169" s="62" t="s">
        <v>803</v>
      </c>
      <c r="G169" s="62" t="s">
        <v>808</v>
      </c>
      <c r="H169" s="62" t="s">
        <v>812</v>
      </c>
    </row>
    <row r="170" spans="2:8" x14ac:dyDescent="0.35">
      <c r="B170" s="13" t="s">
        <v>31</v>
      </c>
      <c r="C170" s="13">
        <v>29</v>
      </c>
      <c r="D170" s="13" t="str">
        <f t="shared" si="3"/>
        <v>26-35</v>
      </c>
      <c r="E170" s="13">
        <v>9</v>
      </c>
      <c r="F170" s="62" t="s">
        <v>803</v>
      </c>
      <c r="G170" s="62" t="s">
        <v>805</v>
      </c>
      <c r="H170" s="68"/>
    </row>
    <row r="171" spans="2:8" x14ac:dyDescent="0.35">
      <c r="B171" s="13" t="s">
        <v>31</v>
      </c>
      <c r="C171" s="13">
        <v>32</v>
      </c>
      <c r="D171" s="13" t="str">
        <f t="shared" si="3"/>
        <v>26-35</v>
      </c>
      <c r="E171" s="13">
        <v>9</v>
      </c>
      <c r="F171" s="62" t="s">
        <v>803</v>
      </c>
      <c r="G171" s="62" t="s">
        <v>805</v>
      </c>
      <c r="H171" s="68"/>
    </row>
    <row r="172" spans="2:8" x14ac:dyDescent="0.35">
      <c r="B172" s="13" t="s">
        <v>31</v>
      </c>
      <c r="C172" s="13">
        <v>34</v>
      </c>
      <c r="D172" s="13" t="str">
        <f t="shared" si="3"/>
        <v>26-35</v>
      </c>
      <c r="E172" s="13">
        <v>9</v>
      </c>
      <c r="F172" s="62" t="s">
        <v>803</v>
      </c>
      <c r="G172" s="62" t="s">
        <v>805</v>
      </c>
      <c r="H172" s="68"/>
    </row>
    <row r="173" spans="2:8" x14ac:dyDescent="0.35">
      <c r="B173" s="13" t="s">
        <v>31</v>
      </c>
      <c r="C173" s="13">
        <v>26</v>
      </c>
      <c r="D173" s="13" t="str">
        <f t="shared" si="3"/>
        <v>26-35</v>
      </c>
      <c r="E173" s="13">
        <v>8</v>
      </c>
      <c r="F173" s="62" t="s">
        <v>801</v>
      </c>
      <c r="G173" s="62" t="s">
        <v>807</v>
      </c>
      <c r="H173" s="68"/>
    </row>
    <row r="174" spans="2:8" x14ac:dyDescent="0.35">
      <c r="B174" s="13" t="s">
        <v>31</v>
      </c>
      <c r="C174" s="13">
        <v>30</v>
      </c>
      <c r="D174" s="13" t="str">
        <f t="shared" si="3"/>
        <v>26-35</v>
      </c>
      <c r="E174" s="13">
        <v>8</v>
      </c>
      <c r="F174" s="62" t="s">
        <v>801</v>
      </c>
      <c r="G174" s="62" t="s">
        <v>807</v>
      </c>
      <c r="H174" s="68"/>
    </row>
    <row r="175" spans="2:8" x14ac:dyDescent="0.35">
      <c r="B175" s="13" t="s">
        <v>31</v>
      </c>
      <c r="C175" s="13">
        <v>30</v>
      </c>
      <c r="D175" s="13" t="str">
        <f t="shared" si="3"/>
        <v>26-35</v>
      </c>
      <c r="E175" s="13">
        <v>10</v>
      </c>
      <c r="F175" s="62" t="s">
        <v>801</v>
      </c>
      <c r="G175" s="62" t="s">
        <v>808</v>
      </c>
      <c r="H175" s="62" t="s">
        <v>813</v>
      </c>
    </row>
    <row r="176" spans="2:8" x14ac:dyDescent="0.35">
      <c r="B176" s="13" t="s">
        <v>31</v>
      </c>
      <c r="C176" s="13">
        <v>32</v>
      </c>
      <c r="D176" s="13" t="str">
        <f t="shared" si="3"/>
        <v>26-35</v>
      </c>
      <c r="E176" s="13">
        <v>9</v>
      </c>
      <c r="F176" s="62" t="s">
        <v>801</v>
      </c>
      <c r="G176" s="62" t="s">
        <v>806</v>
      </c>
      <c r="H176" s="68"/>
    </row>
    <row r="177" spans="2:8" x14ac:dyDescent="0.35">
      <c r="B177" s="13" t="s">
        <v>31</v>
      </c>
      <c r="C177" s="13">
        <v>33</v>
      </c>
      <c r="D177" s="13" t="str">
        <f t="shared" si="3"/>
        <v>26-35</v>
      </c>
      <c r="E177" s="13">
        <v>10</v>
      </c>
      <c r="F177" s="62" t="s">
        <v>801</v>
      </c>
      <c r="G177" s="62" t="s">
        <v>805</v>
      </c>
      <c r="H177" s="68"/>
    </row>
    <row r="178" spans="2:8" x14ac:dyDescent="0.35">
      <c r="B178" s="13" t="s">
        <v>31</v>
      </c>
      <c r="C178" s="13">
        <v>31</v>
      </c>
      <c r="D178" s="13" t="str">
        <f t="shared" si="3"/>
        <v>26-35</v>
      </c>
      <c r="E178" s="13">
        <v>9</v>
      </c>
      <c r="F178" s="62" t="s">
        <v>801</v>
      </c>
      <c r="G178" s="62" t="s">
        <v>805</v>
      </c>
      <c r="H178" s="68"/>
    </row>
    <row r="179" spans="2:8" x14ac:dyDescent="0.35">
      <c r="B179" s="13" t="s">
        <v>31</v>
      </c>
      <c r="C179" s="13">
        <v>40</v>
      </c>
      <c r="D179" s="13" t="str">
        <f t="shared" si="3"/>
        <v>36-45</v>
      </c>
      <c r="E179" s="13">
        <v>9</v>
      </c>
      <c r="F179" s="62" t="s">
        <v>799</v>
      </c>
      <c r="G179" s="62" t="s">
        <v>807</v>
      </c>
      <c r="H179" s="68"/>
    </row>
    <row r="180" spans="2:8" x14ac:dyDescent="0.35">
      <c r="B180" s="13" t="s">
        <v>31</v>
      </c>
      <c r="C180" s="13">
        <v>42</v>
      </c>
      <c r="D180" s="13" t="str">
        <f t="shared" si="3"/>
        <v>36-45</v>
      </c>
      <c r="E180" s="13">
        <v>9</v>
      </c>
      <c r="F180" s="62" t="s">
        <v>799</v>
      </c>
      <c r="G180" s="62" t="s">
        <v>805</v>
      </c>
      <c r="H180" s="68"/>
    </row>
    <row r="181" spans="2:8" x14ac:dyDescent="0.35">
      <c r="B181" s="13" t="s">
        <v>31</v>
      </c>
      <c r="C181" s="13">
        <v>40</v>
      </c>
      <c r="D181" s="13" t="str">
        <f t="shared" si="3"/>
        <v>36-45</v>
      </c>
      <c r="E181" s="13">
        <v>8</v>
      </c>
      <c r="F181" s="62" t="s">
        <v>997</v>
      </c>
      <c r="G181" s="62" t="s">
        <v>807</v>
      </c>
      <c r="H181" s="68"/>
    </row>
    <row r="182" spans="2:8" x14ac:dyDescent="0.35">
      <c r="B182" s="13" t="s">
        <v>31</v>
      </c>
      <c r="C182" s="13">
        <v>39</v>
      </c>
      <c r="D182" s="13" t="str">
        <f t="shared" si="3"/>
        <v>36-45</v>
      </c>
      <c r="E182" s="13">
        <v>9</v>
      </c>
      <c r="F182" s="62" t="s">
        <v>997</v>
      </c>
      <c r="G182" s="62" t="s">
        <v>805</v>
      </c>
      <c r="H182" s="68"/>
    </row>
    <row r="183" spans="2:8" x14ac:dyDescent="0.35">
      <c r="B183" s="13" t="s">
        <v>31</v>
      </c>
      <c r="C183" s="13">
        <v>44</v>
      </c>
      <c r="D183" s="13" t="str">
        <f t="shared" si="3"/>
        <v>36-45</v>
      </c>
      <c r="E183" s="13">
        <v>9</v>
      </c>
      <c r="F183" s="62" t="s">
        <v>997</v>
      </c>
      <c r="G183" s="62" t="s">
        <v>805</v>
      </c>
      <c r="H183" s="68"/>
    </row>
    <row r="184" spans="2:8" x14ac:dyDescent="0.35">
      <c r="B184" s="13" t="s">
        <v>31</v>
      </c>
      <c r="C184" s="13">
        <v>39</v>
      </c>
      <c r="D184" s="13" t="str">
        <f t="shared" si="3"/>
        <v>36-45</v>
      </c>
      <c r="E184" s="13">
        <v>9</v>
      </c>
      <c r="F184" s="62" t="s">
        <v>802</v>
      </c>
      <c r="G184" s="62" t="s">
        <v>806</v>
      </c>
      <c r="H184" s="68"/>
    </row>
    <row r="185" spans="2:8" x14ac:dyDescent="0.35">
      <c r="B185" s="13" t="s">
        <v>31</v>
      </c>
      <c r="C185" s="13">
        <v>45</v>
      </c>
      <c r="D185" s="13" t="str">
        <f t="shared" si="3"/>
        <v>36-45</v>
      </c>
      <c r="E185" s="13">
        <v>10</v>
      </c>
      <c r="F185" s="62" t="s">
        <v>802</v>
      </c>
      <c r="G185" s="62" t="s">
        <v>805</v>
      </c>
      <c r="H185" s="68"/>
    </row>
    <row r="186" spans="2:8" x14ac:dyDescent="0.35">
      <c r="B186" s="13" t="s">
        <v>31</v>
      </c>
      <c r="C186" s="13">
        <v>36</v>
      </c>
      <c r="D186" s="13" t="str">
        <f t="shared" si="3"/>
        <v>36-45</v>
      </c>
      <c r="E186" s="13">
        <v>9</v>
      </c>
      <c r="F186" s="62" t="s">
        <v>802</v>
      </c>
      <c r="G186" s="62" t="s">
        <v>805</v>
      </c>
      <c r="H186" s="68"/>
    </row>
    <row r="187" spans="2:8" x14ac:dyDescent="0.35">
      <c r="B187" s="13" t="s">
        <v>31</v>
      </c>
      <c r="C187" s="13">
        <v>36</v>
      </c>
      <c r="D187" s="13" t="str">
        <f t="shared" si="3"/>
        <v>36-45</v>
      </c>
      <c r="E187" s="13">
        <v>4</v>
      </c>
      <c r="F187" s="62" t="s">
        <v>803</v>
      </c>
      <c r="G187" s="62" t="s">
        <v>808</v>
      </c>
      <c r="H187" s="62" t="s">
        <v>814</v>
      </c>
    </row>
    <row r="188" spans="2:8" x14ac:dyDescent="0.35">
      <c r="B188" s="13" t="s">
        <v>31</v>
      </c>
      <c r="C188" s="13">
        <v>40</v>
      </c>
      <c r="D188" s="13" t="str">
        <f t="shared" si="3"/>
        <v>36-45</v>
      </c>
      <c r="E188" s="13">
        <v>8</v>
      </c>
      <c r="F188" s="62" t="s">
        <v>803</v>
      </c>
      <c r="G188" s="62" t="s">
        <v>805</v>
      </c>
      <c r="H188" s="68"/>
    </row>
    <row r="189" spans="2:8" x14ac:dyDescent="0.35">
      <c r="B189" s="13" t="s">
        <v>31</v>
      </c>
      <c r="C189" s="13">
        <v>45</v>
      </c>
      <c r="D189" s="13" t="str">
        <f t="shared" si="3"/>
        <v>36-45</v>
      </c>
      <c r="E189" s="13">
        <v>10</v>
      </c>
      <c r="F189" s="62" t="s">
        <v>801</v>
      </c>
      <c r="G189" s="62" t="s">
        <v>806</v>
      </c>
      <c r="H189" s="68"/>
    </row>
    <row r="190" spans="2:8" x14ac:dyDescent="0.35">
      <c r="B190" s="13" t="s">
        <v>31</v>
      </c>
      <c r="C190" s="13">
        <v>53</v>
      </c>
      <c r="D190" s="13" t="str">
        <f t="shared" si="3"/>
        <v>46-55</v>
      </c>
      <c r="E190" s="13">
        <v>9</v>
      </c>
      <c r="F190" s="62" t="s">
        <v>799</v>
      </c>
      <c r="G190" s="62" t="s">
        <v>807</v>
      </c>
      <c r="H190" s="68"/>
    </row>
    <row r="191" spans="2:8" x14ac:dyDescent="0.35">
      <c r="B191" s="13" t="s">
        <v>31</v>
      </c>
      <c r="C191" s="13">
        <v>53</v>
      </c>
      <c r="D191" s="13" t="str">
        <f t="shared" si="3"/>
        <v>46-55</v>
      </c>
      <c r="E191" s="13">
        <v>2</v>
      </c>
      <c r="F191" s="62" t="s">
        <v>799</v>
      </c>
      <c r="G191" s="62" t="s">
        <v>809</v>
      </c>
      <c r="H191" s="62" t="s">
        <v>813</v>
      </c>
    </row>
    <row r="192" spans="2:8" x14ac:dyDescent="0.35">
      <c r="B192" s="13" t="s">
        <v>31</v>
      </c>
      <c r="C192" s="13">
        <v>48</v>
      </c>
      <c r="D192" s="13" t="str">
        <f t="shared" si="3"/>
        <v>46-55</v>
      </c>
      <c r="E192" s="13">
        <v>5</v>
      </c>
      <c r="F192" s="62" t="s">
        <v>802</v>
      </c>
      <c r="G192" s="62" t="s">
        <v>807</v>
      </c>
      <c r="H192" s="68"/>
    </row>
    <row r="193" spans="2:8" x14ac:dyDescent="0.35">
      <c r="B193" s="13" t="s">
        <v>31</v>
      </c>
      <c r="C193" s="13">
        <v>53</v>
      </c>
      <c r="D193" s="13" t="str">
        <f t="shared" si="3"/>
        <v>46-55</v>
      </c>
      <c r="E193" s="13">
        <v>9</v>
      </c>
      <c r="F193" s="62" t="s">
        <v>803</v>
      </c>
      <c r="G193" s="62" t="s">
        <v>805</v>
      </c>
      <c r="H193" s="68"/>
    </row>
    <row r="194" spans="2:8" x14ac:dyDescent="0.35">
      <c r="B194" s="13" t="s">
        <v>31</v>
      </c>
      <c r="C194" s="13">
        <v>56</v>
      </c>
      <c r="D194" s="13" t="str">
        <f t="shared" si="3"/>
        <v>55+</v>
      </c>
      <c r="E194" s="13">
        <v>8</v>
      </c>
      <c r="F194" s="62" t="s">
        <v>799</v>
      </c>
      <c r="G194" s="62" t="s">
        <v>808</v>
      </c>
      <c r="H194" s="62" t="s">
        <v>813</v>
      </c>
    </row>
    <row r="195" spans="2:8" x14ac:dyDescent="0.35">
      <c r="B195" s="13" t="s">
        <v>31</v>
      </c>
      <c r="C195" s="13">
        <v>65</v>
      </c>
      <c r="D195" s="13" t="str">
        <f t="shared" si="3"/>
        <v>55+</v>
      </c>
      <c r="E195" s="13">
        <v>10</v>
      </c>
      <c r="F195" s="62" t="s">
        <v>799</v>
      </c>
      <c r="G195" s="62" t="s">
        <v>805</v>
      </c>
      <c r="H195" s="68"/>
    </row>
    <row r="196" spans="2:8" x14ac:dyDescent="0.35">
      <c r="B196" s="13" t="s">
        <v>31</v>
      </c>
      <c r="C196" s="13">
        <v>65</v>
      </c>
      <c r="D196" s="13" t="str">
        <f t="shared" si="3"/>
        <v>55+</v>
      </c>
      <c r="E196" s="13">
        <v>9</v>
      </c>
      <c r="F196" s="62" t="s">
        <v>802</v>
      </c>
      <c r="G196" s="62" t="s">
        <v>807</v>
      </c>
      <c r="H196" s="68"/>
    </row>
    <row r="197" spans="2:8" x14ac:dyDescent="0.35">
      <c r="B197" s="13" t="s">
        <v>31</v>
      </c>
      <c r="C197" s="13">
        <v>61</v>
      </c>
      <c r="D197" s="13" t="str">
        <f t="shared" si="3"/>
        <v>55+</v>
      </c>
      <c r="E197" s="13">
        <v>9</v>
      </c>
      <c r="F197" s="62" t="s">
        <v>801</v>
      </c>
      <c r="G197" s="62" t="s">
        <v>806</v>
      </c>
      <c r="H197" s="68"/>
    </row>
  </sheetData>
  <autoFilter ref="B5:H197">
    <sortState ref="B6:H197">
      <sortCondition ref="B5:B197"/>
    </sortState>
  </autoFilter>
  <pageMargins left="0.2" right="0.2" top="0.25" bottom="0.25" header="0.3" footer="0.3"/>
  <pageSetup scale="7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52"/>
  <sheetViews>
    <sheetView showGridLines="0" topLeftCell="E18" workbookViewId="0">
      <selection activeCell="Q14" sqref="Q14"/>
    </sheetView>
  </sheetViews>
  <sheetFormatPr defaultColWidth="9.1796875" defaultRowHeight="14.5" x14ac:dyDescent="0.35"/>
  <cols>
    <col min="1" max="1" width="1.54296875" style="28" customWidth="1"/>
    <col min="2" max="2" width="2.54296875" style="28" customWidth="1"/>
    <col min="3" max="3" width="12.54296875" style="28" customWidth="1"/>
    <col min="4" max="11" width="10.54296875" style="28" customWidth="1"/>
    <col min="12" max="12" width="14.54296875" style="28" customWidth="1"/>
    <col min="13" max="13" width="17.54296875" style="28" customWidth="1"/>
    <col min="14" max="14" width="8.81640625" style="28" customWidth="1"/>
    <col min="15" max="15" width="8.54296875" style="28" customWidth="1"/>
    <col min="16" max="16" width="8.81640625" style="28" customWidth="1"/>
    <col min="17" max="17" width="9.81640625" style="28" customWidth="1"/>
    <col min="18" max="18" width="11.26953125" style="28" customWidth="1"/>
    <col min="19" max="23" width="10.54296875" style="28" customWidth="1"/>
    <col min="24" max="16384" width="9.1796875" style="28"/>
  </cols>
  <sheetData>
    <row r="1" spans="1:12" ht="7" customHeight="1" x14ac:dyDescent="0.35"/>
    <row r="2" spans="1:12" ht="18.5" x14ac:dyDescent="0.45">
      <c r="B2" s="19" t="s">
        <v>4</v>
      </c>
    </row>
    <row r="3" spans="1:12" s="145" customFormat="1" ht="16" thickBot="1" x14ac:dyDescent="0.4">
      <c r="B3" s="154" t="s">
        <v>1002</v>
      </c>
    </row>
    <row r="4" spans="1:12" x14ac:dyDescent="0.35">
      <c r="A4" s="231"/>
      <c r="B4" s="208"/>
      <c r="C4" s="208"/>
      <c r="D4" s="208"/>
      <c r="E4" s="208"/>
      <c r="F4" s="208"/>
      <c r="G4" s="209"/>
    </row>
    <row r="5" spans="1:12" ht="15.5" x14ac:dyDescent="0.35">
      <c r="A5" s="213"/>
      <c r="B5" s="236" t="s">
        <v>1</v>
      </c>
      <c r="C5" s="240"/>
      <c r="D5" s="4"/>
      <c r="E5" s="4"/>
      <c r="F5" s="4"/>
      <c r="G5" s="212"/>
    </row>
    <row r="6" spans="1:12" s="2" customFormat="1" x14ac:dyDescent="0.35">
      <c r="A6" s="237"/>
      <c r="B6" s="238"/>
      <c r="C6" s="211"/>
      <c r="D6" s="211"/>
      <c r="E6" s="211"/>
      <c r="F6" s="211"/>
      <c r="G6" s="239"/>
    </row>
    <row r="7" spans="1:12" x14ac:dyDescent="0.35">
      <c r="A7" s="213"/>
      <c r="B7" s="4"/>
      <c r="C7" s="4"/>
      <c r="D7" s="218" t="s">
        <v>2</v>
      </c>
      <c r="E7" s="218" t="s">
        <v>20</v>
      </c>
      <c r="F7" s="218" t="s">
        <v>31</v>
      </c>
      <c r="G7" s="212"/>
      <c r="H7" s="145"/>
      <c r="I7"/>
      <c r="J7"/>
    </row>
    <row r="8" spans="1:12" x14ac:dyDescent="0.35">
      <c r="A8" s="213"/>
      <c r="B8" s="4"/>
      <c r="C8" s="10" t="s">
        <v>822</v>
      </c>
      <c r="D8" s="71">
        <f>COUNTIFS(Purchases,"&gt;0")</f>
        <v>252</v>
      </c>
      <c r="E8" s="71">
        <f>COUNTIFS(Purchases,"&gt;0", Lead_Source, E7)</f>
        <v>123</v>
      </c>
      <c r="F8" s="71">
        <f>COUNTIFS(Purchases, "&gt;0", Lead_Source,F7)</f>
        <v>129</v>
      </c>
      <c r="G8" s="212"/>
      <c r="H8" s="6"/>
      <c r="I8" s="3"/>
      <c r="J8"/>
    </row>
    <row r="9" spans="1:12" x14ac:dyDescent="0.35">
      <c r="A9" s="213"/>
      <c r="B9" s="4"/>
      <c r="C9" s="10" t="s">
        <v>846</v>
      </c>
      <c r="D9" s="71">
        <f>AVERAGE(Age)</f>
        <v>32.859375</v>
      </c>
      <c r="E9" s="71">
        <f>AVERAGEIFS(Age, Survey_Lead_Source, E7)</f>
        <v>35.888888888888886</v>
      </c>
      <c r="F9" s="71">
        <f>AVERAGEIFS(Age, Survey_Lead_Source, F7)</f>
        <v>30.186274509803923</v>
      </c>
      <c r="G9" s="212"/>
      <c r="H9" s="6"/>
      <c r="I9" s="3"/>
      <c r="J9"/>
    </row>
    <row r="10" spans="1:12" x14ac:dyDescent="0.35">
      <c r="A10" s="213"/>
      <c r="B10" s="4"/>
      <c r="C10" s="10" t="s">
        <v>829</v>
      </c>
      <c r="D10" s="64">
        <f>AVERAGE(days_to_purchase)</f>
        <v>26.162698412698411</v>
      </c>
      <c r="E10" s="64">
        <f>AVERAGEIFS(days_to_purchase, Lead_Source, E7)</f>
        <v>29.45528455284553</v>
      </c>
      <c r="F10" s="64">
        <f>AVERAGEIFS(days_to_purchase, Lead_Source, F7)</f>
        <v>23.023255813953487</v>
      </c>
      <c r="G10" s="212"/>
      <c r="H10" s="6"/>
      <c r="I10" s="3"/>
      <c r="J10"/>
    </row>
    <row r="11" spans="1:12" x14ac:dyDescent="0.35">
      <c r="A11" s="213"/>
      <c r="B11" s="4"/>
      <c r="C11" s="10" t="s">
        <v>827</v>
      </c>
      <c r="D11" s="12">
        <f>'1.1 PPC Analyis'!D15/'1.2 Customer Analysis'!D8</f>
        <v>66.595396825396818</v>
      </c>
      <c r="E11" s="12">
        <f>'1.1 PPC Analyis'!E15/'1.2 Customer Analysis'!E8</f>
        <v>78.703252032520297</v>
      </c>
      <c r="F11" s="12">
        <f>'1.1 PPC Analyis'!E15/'1.2 Customer Analysis'!F8</f>
        <v>75.042635658914705</v>
      </c>
      <c r="G11" s="212"/>
      <c r="H11" s="6"/>
      <c r="I11" s="3"/>
      <c r="J11"/>
    </row>
    <row r="12" spans="1:12" x14ac:dyDescent="0.35">
      <c r="A12" s="213"/>
      <c r="B12" s="4"/>
      <c r="C12" s="10" t="s">
        <v>792</v>
      </c>
      <c r="D12" s="12">
        <f>AVERAGE(Purchases)</f>
        <v>333.25793650793651</v>
      </c>
      <c r="E12" s="12">
        <f>AVERAGEIFS(Purchases, Lead_Source, E7)</f>
        <v>328.5691056910569</v>
      </c>
      <c r="F12" s="12">
        <f>AVERAGEIFS(Purchases, Lead_Source, F7)</f>
        <v>337.72868217054264</v>
      </c>
      <c r="G12" s="212"/>
      <c r="H12" s="6"/>
      <c r="I12" s="3"/>
      <c r="J12"/>
    </row>
    <row r="13" spans="1:12" x14ac:dyDescent="0.35">
      <c r="A13" s="213"/>
      <c r="B13" s="4"/>
      <c r="C13" s="10" t="s">
        <v>818</v>
      </c>
      <c r="D13" s="69">
        <f>AVERAGE(touch_points)</f>
        <v>1</v>
      </c>
      <c r="E13" s="69">
        <f>AVERAGEIFS(TouchPoints, Lead_Source, E7)</f>
        <v>1.5528455284552845</v>
      </c>
      <c r="F13" s="69">
        <f>AVERAGEIFS(TouchPoints, Lead_Source, F7)</f>
        <v>1.3488372093023255</v>
      </c>
      <c r="G13" s="212"/>
      <c r="H13" s="6"/>
      <c r="I13" s="3"/>
      <c r="J13"/>
    </row>
    <row r="14" spans="1:12" x14ac:dyDescent="0.35">
      <c r="A14" s="213"/>
      <c r="B14" s="4"/>
      <c r="C14" s="10" t="s">
        <v>26</v>
      </c>
      <c r="D14" s="65">
        <f>D8/'1.1 PPC Analyis'!D18</f>
        <v>0.32474226804123713</v>
      </c>
      <c r="E14" s="65">
        <f>E8/'1.1 PPC Analyis'!E18</f>
        <v>0.30521091811414391</v>
      </c>
      <c r="F14" s="65">
        <f>F8/'1.1 PPC Analyis'!F18</f>
        <v>0.34584450402144773</v>
      </c>
      <c r="G14" s="212"/>
      <c r="H14"/>
      <c r="I14"/>
      <c r="J14"/>
    </row>
    <row r="15" spans="1:12" ht="15" thickBot="1" x14ac:dyDescent="0.4">
      <c r="A15" s="213"/>
      <c r="B15" s="4"/>
      <c r="C15" s="4"/>
      <c r="D15" s="4"/>
      <c r="E15" s="4"/>
      <c r="F15" s="4"/>
      <c r="G15" s="212"/>
      <c r="H15"/>
      <c r="I15"/>
      <c r="J15"/>
    </row>
    <row r="16" spans="1:12" s="145" customFormat="1" x14ac:dyDescent="0.35">
      <c r="A16" s="231"/>
      <c r="B16" s="208"/>
      <c r="C16" s="208"/>
      <c r="D16" s="208"/>
      <c r="E16" s="208"/>
      <c r="F16" s="208"/>
      <c r="G16" s="208"/>
      <c r="H16" s="208"/>
      <c r="I16" s="208"/>
      <c r="J16" s="208"/>
      <c r="K16" s="208"/>
      <c r="L16" s="209"/>
    </row>
    <row r="17" spans="1:12" s="145" customFormat="1" x14ac:dyDescent="0.35">
      <c r="A17" s="213"/>
      <c r="B17" s="4"/>
      <c r="C17" s="223" t="s">
        <v>908</v>
      </c>
      <c r="D17" s="4"/>
      <c r="E17" s="4"/>
      <c r="F17" s="4"/>
      <c r="G17" s="4"/>
      <c r="H17" s="4"/>
      <c r="I17" s="119" t="s">
        <v>1026</v>
      </c>
      <c r="J17" s="4"/>
      <c r="K17" s="4"/>
      <c r="L17" s="212"/>
    </row>
    <row r="18" spans="1:12" s="145" customFormat="1" x14ac:dyDescent="0.35">
      <c r="A18" s="213"/>
      <c r="B18" s="4"/>
      <c r="C18" s="223" t="s">
        <v>909</v>
      </c>
      <c r="D18" s="4"/>
      <c r="E18" s="4"/>
      <c r="F18" s="4"/>
      <c r="G18" s="4"/>
      <c r="H18" s="4"/>
      <c r="I18" s="119" t="s">
        <v>1025</v>
      </c>
      <c r="J18" s="4"/>
      <c r="K18" s="4"/>
      <c r="L18" s="212"/>
    </row>
    <row r="19" spans="1:12" s="145" customFormat="1" x14ac:dyDescent="0.35">
      <c r="A19" s="213"/>
      <c r="B19" s="4"/>
      <c r="C19" s="223" t="s">
        <v>998</v>
      </c>
      <c r="D19" s="4"/>
      <c r="E19" s="4"/>
      <c r="F19" s="4"/>
      <c r="G19" s="4"/>
      <c r="H19" s="4"/>
      <c r="I19" s="119" t="s">
        <v>31</v>
      </c>
      <c r="J19" s="4"/>
      <c r="K19" s="4"/>
      <c r="L19" s="212"/>
    </row>
    <row r="20" spans="1:12" s="145" customFormat="1" x14ac:dyDescent="0.35">
      <c r="A20" s="213"/>
      <c r="B20" s="4"/>
      <c r="C20" s="223" t="s">
        <v>916</v>
      </c>
      <c r="D20" s="4"/>
      <c r="E20" s="4"/>
      <c r="F20" s="4"/>
      <c r="G20" s="4"/>
      <c r="H20" s="4"/>
      <c r="I20" s="150" t="s">
        <v>1040</v>
      </c>
      <c r="J20" s="152"/>
      <c r="K20" s="151"/>
      <c r="L20" s="212"/>
    </row>
    <row r="21" spans="1:12" s="145" customFormat="1" x14ac:dyDescent="0.35">
      <c r="A21" s="213"/>
      <c r="B21" s="4"/>
      <c r="C21" s="4"/>
      <c r="D21" s="4"/>
      <c r="E21" s="4"/>
      <c r="F21" s="4"/>
      <c r="G21" s="4"/>
      <c r="H21" s="4"/>
      <c r="I21" s="4"/>
      <c r="J21" s="4"/>
      <c r="K21" s="4"/>
      <c r="L21" s="212"/>
    </row>
    <row r="22" spans="1:12" s="145" customFormat="1" x14ac:dyDescent="0.35">
      <c r="A22" s="213"/>
      <c r="B22" s="4"/>
      <c r="C22" s="4"/>
      <c r="D22" s="4"/>
      <c r="E22" s="4"/>
      <c r="F22" s="4"/>
      <c r="G22" s="4"/>
      <c r="H22" s="4"/>
      <c r="I22" s="4"/>
      <c r="J22" s="4"/>
      <c r="K22" s="4"/>
      <c r="L22" s="212"/>
    </row>
    <row r="23" spans="1:12" s="145" customFormat="1" x14ac:dyDescent="0.35">
      <c r="A23" s="213"/>
      <c r="B23" s="4"/>
      <c r="C23" s="4"/>
      <c r="D23" s="4"/>
      <c r="E23" s="4"/>
      <c r="F23" s="4"/>
      <c r="G23" s="4"/>
      <c r="H23" s="4"/>
      <c r="I23" s="4"/>
      <c r="J23" s="4"/>
      <c r="K23" s="4"/>
      <c r="L23" s="212"/>
    </row>
    <row r="24" spans="1:12" s="145" customFormat="1" x14ac:dyDescent="0.35">
      <c r="A24" s="213"/>
      <c r="B24" s="4"/>
      <c r="C24" s="4"/>
      <c r="D24" s="4"/>
      <c r="E24" s="4"/>
      <c r="F24" s="4"/>
      <c r="G24" s="4"/>
      <c r="H24" s="4"/>
      <c r="I24" s="4"/>
      <c r="J24" s="4"/>
      <c r="K24" s="4"/>
      <c r="L24" s="212"/>
    </row>
    <row r="25" spans="1:12" s="145" customFormat="1" x14ac:dyDescent="0.35">
      <c r="A25" s="213"/>
      <c r="B25" s="4"/>
      <c r="C25" s="223" t="s">
        <v>917</v>
      </c>
      <c r="D25" s="4"/>
      <c r="E25" s="4"/>
      <c r="F25" s="4"/>
      <c r="G25" s="4"/>
      <c r="H25" s="4"/>
      <c r="I25" s="150" t="s">
        <v>1039</v>
      </c>
      <c r="J25" s="152"/>
      <c r="K25" s="151"/>
      <c r="L25" s="212"/>
    </row>
    <row r="26" spans="1:12" s="145" customFormat="1" ht="15" thickBot="1" x14ac:dyDescent="0.4">
      <c r="A26" s="215"/>
      <c r="B26" s="216"/>
      <c r="C26" s="216"/>
      <c r="D26" s="216"/>
      <c r="E26" s="216"/>
      <c r="F26" s="216"/>
      <c r="G26" s="216"/>
      <c r="H26" s="216"/>
      <c r="I26" s="216"/>
      <c r="J26" s="216"/>
      <c r="K26" s="216"/>
      <c r="L26" s="217"/>
    </row>
    <row r="27" spans="1:12" s="145" customFormat="1" x14ac:dyDescent="0.35">
      <c r="A27" s="213"/>
      <c r="B27" s="4"/>
      <c r="C27" s="4"/>
      <c r="D27" s="4"/>
      <c r="E27" s="4"/>
      <c r="F27" s="4"/>
      <c r="G27" s="4"/>
      <c r="H27" s="4"/>
      <c r="I27" s="212"/>
    </row>
    <row r="28" spans="1:12" ht="15.5" x14ac:dyDescent="0.35">
      <c r="A28" s="213"/>
      <c r="B28" s="236" t="s">
        <v>793</v>
      </c>
      <c r="C28" s="4"/>
      <c r="D28" s="4"/>
      <c r="E28" s="4"/>
      <c r="F28" s="4"/>
      <c r="G28" s="4"/>
      <c r="H28" s="4"/>
      <c r="I28" s="212"/>
      <c r="J28"/>
      <c r="K28"/>
    </row>
    <row r="29" spans="1:12" x14ac:dyDescent="0.35">
      <c r="A29" s="213"/>
      <c r="B29" s="4"/>
      <c r="C29" s="4"/>
      <c r="D29" s="4"/>
      <c r="E29" s="4"/>
      <c r="F29" s="4"/>
      <c r="G29" s="4"/>
      <c r="H29" s="4"/>
      <c r="I29" s="212"/>
      <c r="J29"/>
    </row>
    <row r="30" spans="1:12" x14ac:dyDescent="0.35">
      <c r="A30" s="213"/>
      <c r="B30" s="4"/>
      <c r="C30" s="4"/>
      <c r="D30" s="246" t="s">
        <v>2</v>
      </c>
      <c r="E30" s="246" t="s">
        <v>20</v>
      </c>
      <c r="F30" s="246" t="s">
        <v>31</v>
      </c>
      <c r="G30" s="4"/>
      <c r="H30" s="4"/>
      <c r="I30" s="212"/>
      <c r="J30"/>
    </row>
    <row r="31" spans="1:12" x14ac:dyDescent="0.35">
      <c r="A31" s="213"/>
      <c r="B31" s="4"/>
      <c r="C31" s="4" t="s">
        <v>792</v>
      </c>
      <c r="D31" s="241">
        <f>D12</f>
        <v>333.25793650793651</v>
      </c>
      <c r="E31" s="241">
        <f>E12</f>
        <v>328.5691056910569</v>
      </c>
      <c r="F31" s="241">
        <f>F12</f>
        <v>337.72868217054264</v>
      </c>
      <c r="G31" s="4"/>
      <c r="H31" s="4"/>
      <c r="I31" s="212"/>
      <c r="J31"/>
    </row>
    <row r="32" spans="1:12" x14ac:dyDescent="0.35">
      <c r="A32" s="213"/>
      <c r="B32" s="4"/>
      <c r="C32" s="4" t="s">
        <v>29</v>
      </c>
      <c r="D32" s="66">
        <v>0.75</v>
      </c>
      <c r="E32" s="42">
        <f>D32</f>
        <v>0.75</v>
      </c>
      <c r="F32" s="42">
        <f>D32</f>
        <v>0.75</v>
      </c>
      <c r="G32" s="4"/>
      <c r="H32" s="4"/>
      <c r="I32" s="212"/>
      <c r="J32"/>
    </row>
    <row r="33" spans="1:18" x14ac:dyDescent="0.35">
      <c r="A33" s="213"/>
      <c r="B33" s="4"/>
      <c r="C33" s="4" t="s">
        <v>794</v>
      </c>
      <c r="D33" s="241">
        <f>D32*D31</f>
        <v>249.94345238095238</v>
      </c>
      <c r="E33" s="241">
        <f>E32*E31</f>
        <v>246.42682926829269</v>
      </c>
      <c r="F33" s="241">
        <f>F32*F31</f>
        <v>253.29651162790697</v>
      </c>
      <c r="G33" s="4"/>
      <c r="H33" s="4"/>
      <c r="I33" s="212"/>
      <c r="J33"/>
    </row>
    <row r="34" spans="1:18" x14ac:dyDescent="0.35">
      <c r="A34" s="213"/>
      <c r="B34" s="4"/>
      <c r="C34" s="5" t="s">
        <v>795</v>
      </c>
      <c r="D34" s="242">
        <f>'1.4 Survey Analysis'!D29</f>
        <v>0.66666666666666674</v>
      </c>
      <c r="E34" s="242">
        <f>'1.4 Survey Analysis'!E29</f>
        <v>0.62222222222222223</v>
      </c>
      <c r="F34" s="242">
        <f>'1.4 Survey Analysis'!F29</f>
        <v>0.70588235294117641</v>
      </c>
      <c r="G34" s="243"/>
      <c r="H34" s="4"/>
      <c r="I34" s="212"/>
      <c r="J34"/>
    </row>
    <row r="35" spans="1:18" x14ac:dyDescent="0.35">
      <c r="A35" s="213"/>
      <c r="B35" s="4"/>
      <c r="C35" s="5" t="s">
        <v>796</v>
      </c>
      <c r="D35" s="66">
        <v>0.1</v>
      </c>
      <c r="E35" s="42">
        <f>D35</f>
        <v>0.1</v>
      </c>
      <c r="F35" s="42">
        <f>D35</f>
        <v>0.1</v>
      </c>
      <c r="G35" s="4"/>
      <c r="H35" s="4"/>
      <c r="I35" s="212"/>
      <c r="J35"/>
      <c r="L35" s="138"/>
      <c r="M35" s="138"/>
      <c r="N35"/>
      <c r="O35" s="138"/>
      <c r="P35" s="138"/>
      <c r="Q35" s="138"/>
      <c r="R35" s="138"/>
    </row>
    <row r="36" spans="1:18" x14ac:dyDescent="0.35">
      <c r="A36" s="213"/>
      <c r="B36" s="4"/>
      <c r="C36" s="5" t="s">
        <v>797</v>
      </c>
      <c r="D36" s="241">
        <f>D33*(D34/(1+D35-D34))</f>
        <v>384.52838827838832</v>
      </c>
      <c r="E36" s="241">
        <f>E33*(E34/(1+E35-E34))</f>
        <v>320.92796369824163</v>
      </c>
      <c r="F36" s="241">
        <f>F33*(F34/(1+F35-F34))</f>
        <v>453.66539396043015</v>
      </c>
      <c r="G36" s="4"/>
      <c r="H36" s="4"/>
      <c r="I36" s="212"/>
      <c r="L36" s="138"/>
      <c r="M36" s="138"/>
      <c r="N36" s="138"/>
      <c r="O36" s="138"/>
      <c r="P36" s="138"/>
      <c r="Q36" s="145"/>
      <c r="R36" s="145"/>
    </row>
    <row r="37" spans="1:18" x14ac:dyDescent="0.35">
      <c r="A37" s="213"/>
      <c r="B37" s="4"/>
      <c r="C37" s="5" t="s">
        <v>827</v>
      </c>
      <c r="D37" s="78">
        <f>D11</f>
        <v>66.595396825396818</v>
      </c>
      <c r="E37" s="78">
        <f t="shared" ref="E37" si="0">E11</f>
        <v>78.703252032520297</v>
      </c>
      <c r="F37" s="78">
        <f>F11</f>
        <v>75.042635658914705</v>
      </c>
      <c r="G37" s="78"/>
      <c r="H37" s="4"/>
      <c r="I37" s="212"/>
      <c r="L37" s="138"/>
      <c r="M37" s="145"/>
      <c r="N37" s="145"/>
      <c r="O37" s="145"/>
      <c r="P37" s="145"/>
      <c r="Q37"/>
      <c r="R37"/>
    </row>
    <row r="38" spans="1:18" x14ac:dyDescent="0.35">
      <c r="A38" s="213"/>
      <c r="B38" s="4"/>
      <c r="C38" s="79" t="s">
        <v>910</v>
      </c>
      <c r="D38" s="244">
        <f>D36-D37</f>
        <v>317.93299145299147</v>
      </c>
      <c r="E38" s="244">
        <f>E36-E37</f>
        <v>242.22471166572132</v>
      </c>
      <c r="F38" s="244">
        <f>F36-F37</f>
        <v>378.62275830151543</v>
      </c>
      <c r="G38" s="4"/>
      <c r="H38" s="4"/>
      <c r="I38" s="212"/>
      <c r="L38" s="6"/>
      <c r="M38" s="3"/>
      <c r="N38" s="3"/>
      <c r="O38" s="58"/>
      <c r="P38" s="58"/>
      <c r="Q38" s="3"/>
      <c r="R38" s="58"/>
    </row>
    <row r="39" spans="1:18" x14ac:dyDescent="0.35">
      <c r="A39" s="213"/>
      <c r="B39" s="4"/>
      <c r="C39" s="4"/>
      <c r="D39" s="4"/>
      <c r="E39" s="4"/>
      <c r="F39" s="4"/>
      <c r="G39" s="4"/>
      <c r="H39" s="4"/>
      <c r="I39" s="212"/>
      <c r="L39" s="6"/>
      <c r="M39" s="3"/>
      <c r="N39" s="3"/>
      <c r="O39" s="58"/>
      <c r="P39" s="58"/>
      <c r="Q39" s="3"/>
      <c r="R39" s="58"/>
    </row>
    <row r="40" spans="1:18" x14ac:dyDescent="0.35">
      <c r="A40" s="213"/>
      <c r="B40" s="4"/>
      <c r="C40" s="245" t="s">
        <v>911</v>
      </c>
      <c r="D40" s="4"/>
      <c r="E40" s="4"/>
      <c r="F40" s="4"/>
      <c r="G40" s="4"/>
      <c r="H40" s="4"/>
      <c r="I40" s="212"/>
      <c r="L40" s="6"/>
      <c r="M40" s="3"/>
      <c r="N40" s="3"/>
      <c r="O40" s="58"/>
      <c r="P40" s="58"/>
      <c r="Q40" s="3"/>
      <c r="R40" s="58"/>
    </row>
    <row r="41" spans="1:18" x14ac:dyDescent="0.35">
      <c r="A41" s="213"/>
      <c r="B41" s="4"/>
      <c r="C41" s="323"/>
      <c r="D41" s="4" t="s">
        <v>31</v>
      </c>
      <c r="E41" s="4"/>
      <c r="F41" s="4"/>
      <c r="G41" s="4"/>
      <c r="H41" s="4"/>
      <c r="I41" s="212"/>
      <c r="L41" s="6"/>
      <c r="M41" s="3"/>
      <c r="N41" s="3"/>
      <c r="O41" s="58"/>
      <c r="P41" s="58"/>
      <c r="Q41" s="3"/>
      <c r="R41" s="58"/>
    </row>
    <row r="42" spans="1:18" ht="15" thickBot="1" x14ac:dyDescent="0.4">
      <c r="A42" s="215"/>
      <c r="B42" s="216"/>
      <c r="C42" s="216"/>
      <c r="D42" s="216"/>
      <c r="E42" s="216"/>
      <c r="F42" s="216"/>
      <c r="G42" s="216"/>
      <c r="H42" s="216"/>
      <c r="I42" s="217"/>
      <c r="L42" s="6"/>
      <c r="M42" s="3"/>
      <c r="N42" s="3"/>
      <c r="O42" s="58"/>
      <c r="P42" s="58"/>
      <c r="Q42" s="3"/>
      <c r="R42" s="58"/>
    </row>
    <row r="43" spans="1:18" x14ac:dyDescent="0.35">
      <c r="L43" s="6"/>
      <c r="M43" s="3"/>
      <c r="N43" s="3"/>
      <c r="O43" s="58"/>
      <c r="P43" s="58"/>
      <c r="Q43" s="3"/>
      <c r="R43" s="58"/>
    </row>
    <row r="44" spans="1:18" x14ac:dyDescent="0.35">
      <c r="L44" s="6"/>
      <c r="M44" s="3"/>
      <c r="N44" s="3"/>
      <c r="O44" s="58"/>
      <c r="P44" s="58"/>
      <c r="Q44" s="3"/>
      <c r="R44" s="58"/>
    </row>
    <row r="45" spans="1:18" x14ac:dyDescent="0.35">
      <c r="L45" s="6"/>
      <c r="M45" s="3"/>
      <c r="N45" s="3"/>
      <c r="O45" s="58"/>
      <c r="P45" s="58"/>
      <c r="Q45" s="3"/>
      <c r="R45" s="58"/>
    </row>
    <row r="46" spans="1:18" x14ac:dyDescent="0.35">
      <c r="L46" s="6"/>
      <c r="M46" s="3"/>
      <c r="N46" s="3"/>
      <c r="O46" s="58"/>
      <c r="P46" s="58"/>
      <c r="Q46" s="3"/>
      <c r="R46" s="58"/>
    </row>
    <row r="47" spans="1:18" x14ac:dyDescent="0.35">
      <c r="L47" s="6"/>
      <c r="M47" s="3"/>
      <c r="N47" s="3"/>
      <c r="O47" s="58"/>
      <c r="P47" s="58"/>
      <c r="Q47" s="3"/>
      <c r="R47" s="58"/>
    </row>
    <row r="48" spans="1:18" x14ac:dyDescent="0.35">
      <c r="L48" s="6"/>
      <c r="M48" s="3"/>
      <c r="N48" s="3"/>
      <c r="O48" s="58"/>
      <c r="P48" s="58"/>
      <c r="Q48" s="3"/>
      <c r="R48" s="58"/>
    </row>
    <row r="49" spans="12:18" x14ac:dyDescent="0.35">
      <c r="L49" s="6"/>
      <c r="M49" s="3"/>
      <c r="N49" s="3"/>
      <c r="O49" s="58"/>
      <c r="P49" s="58"/>
      <c r="Q49" s="3"/>
      <c r="R49" s="58"/>
    </row>
    <row r="50" spans="12:18" x14ac:dyDescent="0.35">
      <c r="L50"/>
      <c r="M50"/>
      <c r="N50"/>
    </row>
    <row r="51" spans="12:18" x14ac:dyDescent="0.35">
      <c r="L51"/>
      <c r="M51"/>
      <c r="N51"/>
    </row>
    <row r="52" spans="12:18" x14ac:dyDescent="0.35">
      <c r="L52"/>
      <c r="M52"/>
      <c r="N52"/>
    </row>
  </sheetData>
  <dataValidations count="1">
    <dataValidation type="list" allowBlank="1" showInputMessage="1" showErrorMessage="1" sqref="I17:I18">
      <formula1>"Millennial, Gen X, Baby Boomer"</formula1>
    </dataValidation>
  </dataValidations>
  <pageMargins left="0.25" right="0.25" top="0.25" bottom="0.25" header="0.3" footer="0.3"/>
  <pageSetup scale="85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56"/>
  <sheetViews>
    <sheetView showGridLines="0" topLeftCell="S6" workbookViewId="0">
      <selection activeCell="AI26" sqref="AI26"/>
    </sheetView>
  </sheetViews>
  <sheetFormatPr defaultColWidth="9.1796875" defaultRowHeight="14.5" x14ac:dyDescent="0.35"/>
  <cols>
    <col min="1" max="1" width="1.54296875" style="28" customWidth="1"/>
    <col min="2" max="2" width="2.54296875" style="28" customWidth="1"/>
    <col min="3" max="15" width="10.54296875" style="28" customWidth="1"/>
    <col min="16" max="16" width="14.54296875" style="28" customWidth="1"/>
    <col min="17" max="17" width="17.54296875" style="28" customWidth="1"/>
    <col min="18" max="18" width="8.81640625" style="28" customWidth="1"/>
    <col min="19" max="19" width="13.54296875" style="28" customWidth="1"/>
    <col min="20" max="21" width="8.81640625" style="28" customWidth="1"/>
    <col min="22" max="22" width="10.26953125" style="28" customWidth="1"/>
    <col min="23" max="16384" width="9.1796875" style="28"/>
  </cols>
  <sheetData>
    <row r="1" spans="1:22" ht="7" customHeight="1" x14ac:dyDescent="0.35"/>
    <row r="2" spans="1:22" ht="18.5" x14ac:dyDescent="0.45">
      <c r="B2" s="19" t="s">
        <v>4</v>
      </c>
    </row>
    <row r="3" spans="1:22" s="145" customFormat="1" ht="16" thickBot="1" x14ac:dyDescent="0.4">
      <c r="B3" s="154" t="s">
        <v>789</v>
      </c>
    </row>
    <row r="4" spans="1:22" x14ac:dyDescent="0.35">
      <c r="A4" s="231"/>
      <c r="B4" s="208"/>
      <c r="C4" s="208"/>
      <c r="D4" s="208"/>
      <c r="E4" s="208"/>
      <c r="F4" s="208"/>
      <c r="G4" s="209"/>
    </row>
    <row r="5" spans="1:22" ht="15.5" x14ac:dyDescent="0.35">
      <c r="A5" s="213"/>
      <c r="B5" s="236" t="s">
        <v>789</v>
      </c>
      <c r="C5" s="4"/>
      <c r="D5" s="4"/>
      <c r="E5" s="4"/>
      <c r="F5" s="4"/>
      <c r="G5" s="212"/>
    </row>
    <row r="6" spans="1:22" x14ac:dyDescent="0.35">
      <c r="A6" s="213"/>
      <c r="B6" s="4"/>
      <c r="C6" s="4"/>
      <c r="D6" s="4"/>
      <c r="E6" s="4"/>
      <c r="F6" s="4"/>
      <c r="G6" s="212"/>
    </row>
    <row r="7" spans="1:22" x14ac:dyDescent="0.35">
      <c r="A7" s="213"/>
      <c r="B7" s="4"/>
      <c r="C7" s="218" t="s">
        <v>790</v>
      </c>
      <c r="D7" s="309" t="s">
        <v>2</v>
      </c>
      <c r="E7" s="309" t="s">
        <v>20</v>
      </c>
      <c r="F7" s="309" t="s">
        <v>31</v>
      </c>
      <c r="G7" s="247"/>
    </row>
    <row r="8" spans="1:22" x14ac:dyDescent="0.35">
      <c r="A8" s="213"/>
      <c r="B8" s="4"/>
      <c r="C8" s="311">
        <v>0</v>
      </c>
      <c r="D8" s="312">
        <v>5.208333333333333E-3</v>
      </c>
      <c r="E8" s="310">
        <v>1.1111111111111112E-2</v>
      </c>
      <c r="F8" s="310">
        <v>0</v>
      </c>
      <c r="G8" s="247"/>
    </row>
    <row r="9" spans="1:22" x14ac:dyDescent="0.35">
      <c r="A9" s="213"/>
      <c r="B9" s="4"/>
      <c r="C9" s="311">
        <v>1</v>
      </c>
      <c r="D9" s="312">
        <v>5.208333333333333E-3</v>
      </c>
      <c r="E9" s="310">
        <v>1.1111111111111112E-2</v>
      </c>
      <c r="F9" s="310">
        <v>0</v>
      </c>
      <c r="G9" s="247"/>
    </row>
    <row r="10" spans="1:22" x14ac:dyDescent="0.35">
      <c r="A10" s="213"/>
      <c r="B10" s="4"/>
      <c r="C10" s="311">
        <v>2</v>
      </c>
      <c r="D10" s="312">
        <v>1.0416666666666666E-2</v>
      </c>
      <c r="E10" s="310">
        <v>1.1111111111111112E-2</v>
      </c>
      <c r="F10" s="310">
        <v>9.8039215686274508E-3</v>
      </c>
      <c r="G10" s="247"/>
    </row>
    <row r="11" spans="1:22" x14ac:dyDescent="0.35">
      <c r="A11" s="213"/>
      <c r="B11" s="4"/>
      <c r="C11" s="311">
        <v>3</v>
      </c>
      <c r="D11" s="312">
        <v>5.208333333333333E-3</v>
      </c>
      <c r="E11" s="310">
        <v>0</v>
      </c>
      <c r="F11" s="310">
        <v>9.8039215686274508E-3</v>
      </c>
      <c r="G11" s="247"/>
    </row>
    <row r="12" spans="1:22" x14ac:dyDescent="0.35">
      <c r="A12" s="213"/>
      <c r="B12" s="4"/>
      <c r="C12" s="311">
        <v>4</v>
      </c>
      <c r="D12" s="312">
        <v>2.0833333333333332E-2</v>
      </c>
      <c r="E12" s="310">
        <v>2.2222222222222223E-2</v>
      </c>
      <c r="F12" s="310">
        <v>1.9607843137254902E-2</v>
      </c>
      <c r="G12" s="247"/>
      <c r="P12" s="138"/>
      <c r="Q12" s="302" t="s">
        <v>1014</v>
      </c>
      <c r="R12" s="138"/>
      <c r="S12" s="138"/>
      <c r="T12" s="138"/>
      <c r="U12" s="138"/>
      <c r="V12" s="138"/>
    </row>
    <row r="13" spans="1:22" x14ac:dyDescent="0.35">
      <c r="A13" s="213"/>
      <c r="B13" s="4"/>
      <c r="C13" s="311">
        <v>5</v>
      </c>
      <c r="D13" s="312">
        <v>4.1666666666666664E-2</v>
      </c>
      <c r="E13" s="310">
        <v>5.5555555555555552E-2</v>
      </c>
      <c r="F13" s="310">
        <v>2.9411764705882353E-2</v>
      </c>
      <c r="G13" s="247"/>
      <c r="P13" s="138"/>
      <c r="Q13" s="303" t="s">
        <v>791</v>
      </c>
      <c r="R13" s="303"/>
      <c r="S13" s="303" t="s">
        <v>1013</v>
      </c>
      <c r="T13" s="303"/>
      <c r="U13" s="138" t="s">
        <v>1015</v>
      </c>
      <c r="V13" s="138" t="s">
        <v>1016</v>
      </c>
    </row>
    <row r="14" spans="1:22" x14ac:dyDescent="0.35">
      <c r="A14" s="213"/>
      <c r="B14" s="4"/>
      <c r="C14" s="311">
        <v>6</v>
      </c>
      <c r="D14" s="312">
        <v>3.6458333333333336E-2</v>
      </c>
      <c r="E14" s="310">
        <v>7.7777777777777779E-2</v>
      </c>
      <c r="F14" s="310">
        <v>0</v>
      </c>
      <c r="G14" s="247"/>
      <c r="P14" s="302" t="s">
        <v>1011</v>
      </c>
      <c r="Q14" s="303" t="s">
        <v>20</v>
      </c>
      <c r="R14" s="303" t="s">
        <v>31</v>
      </c>
      <c r="S14" s="303" t="s">
        <v>20</v>
      </c>
      <c r="T14" s="303" t="s">
        <v>31</v>
      </c>
      <c r="U14" s="138"/>
      <c r="V14" s="138"/>
    </row>
    <row r="15" spans="1:22" x14ac:dyDescent="0.35">
      <c r="A15" s="213"/>
      <c r="B15" s="4"/>
      <c r="C15" s="311">
        <v>7</v>
      </c>
      <c r="D15" s="312">
        <v>0.14583333333333334</v>
      </c>
      <c r="E15" s="310">
        <v>0.15555555555555556</v>
      </c>
      <c r="F15" s="310">
        <v>0.13725490196078433</v>
      </c>
      <c r="G15" s="247"/>
      <c r="P15" s="138">
        <v>0</v>
      </c>
      <c r="Q15" s="304">
        <v>1</v>
      </c>
      <c r="R15" s="304"/>
      <c r="S15" s="305">
        <v>1.1111111111111112E-2</v>
      </c>
      <c r="T15" s="305">
        <v>0</v>
      </c>
      <c r="U15" s="306">
        <v>1</v>
      </c>
      <c r="V15" s="307">
        <v>5.208333333333333E-3</v>
      </c>
    </row>
    <row r="16" spans="1:22" x14ac:dyDescent="0.35">
      <c r="A16" s="213"/>
      <c r="B16" s="4"/>
      <c r="C16" s="311">
        <v>8</v>
      </c>
      <c r="D16" s="312">
        <v>0.11458333333333333</v>
      </c>
      <c r="E16" s="310">
        <v>6.6666666666666666E-2</v>
      </c>
      <c r="F16" s="310">
        <v>0.15686274509803921</v>
      </c>
      <c r="G16" s="247"/>
      <c r="P16" s="138">
        <v>1</v>
      </c>
      <c r="Q16" s="304">
        <v>1</v>
      </c>
      <c r="R16" s="304"/>
      <c r="S16" s="305">
        <v>1.1111111111111112E-2</v>
      </c>
      <c r="T16" s="305">
        <v>0</v>
      </c>
      <c r="U16" s="306">
        <v>1</v>
      </c>
      <c r="V16" s="307">
        <v>5.208333333333333E-3</v>
      </c>
    </row>
    <row r="17" spans="1:22" x14ac:dyDescent="0.35">
      <c r="A17" s="213"/>
      <c r="B17" s="4"/>
      <c r="C17" s="311">
        <v>9</v>
      </c>
      <c r="D17" s="312">
        <v>0.38541666666666669</v>
      </c>
      <c r="E17" s="310">
        <v>0.34444444444444444</v>
      </c>
      <c r="F17" s="310">
        <v>0.42156862745098039</v>
      </c>
      <c r="G17" s="247"/>
      <c r="P17" s="138">
        <v>2</v>
      </c>
      <c r="Q17" s="304">
        <v>1</v>
      </c>
      <c r="R17" s="304">
        <v>1</v>
      </c>
      <c r="S17" s="305">
        <v>1.1111111111111112E-2</v>
      </c>
      <c r="T17" s="305">
        <v>9.8039215686274508E-3</v>
      </c>
      <c r="U17" s="306">
        <v>2</v>
      </c>
      <c r="V17" s="307">
        <v>1.0416666666666666E-2</v>
      </c>
    </row>
    <row r="18" spans="1:22" x14ac:dyDescent="0.35">
      <c r="A18" s="213"/>
      <c r="B18" s="4"/>
      <c r="C18" s="311">
        <v>10</v>
      </c>
      <c r="D18" s="312">
        <v>0.22916666666666666</v>
      </c>
      <c r="E18" s="310">
        <v>0.24444444444444444</v>
      </c>
      <c r="F18" s="310">
        <v>0.21568627450980393</v>
      </c>
      <c r="G18" s="247"/>
      <c r="P18" s="138">
        <v>3</v>
      </c>
      <c r="Q18" s="304"/>
      <c r="R18" s="304">
        <v>1</v>
      </c>
      <c r="S18" s="305">
        <v>0</v>
      </c>
      <c r="T18" s="305">
        <v>9.8039215686274508E-3</v>
      </c>
      <c r="U18" s="306">
        <v>1</v>
      </c>
      <c r="V18" s="307">
        <v>5.208333333333333E-3</v>
      </c>
    </row>
    <row r="19" spans="1:22" x14ac:dyDescent="0.35">
      <c r="A19" s="213"/>
      <c r="B19" s="4"/>
      <c r="C19" s="59"/>
      <c r="D19" s="59"/>
      <c r="E19" s="60"/>
      <c r="F19" s="59"/>
      <c r="G19" s="247"/>
      <c r="P19" s="138">
        <v>4</v>
      </c>
      <c r="Q19" s="304">
        <v>2</v>
      </c>
      <c r="R19" s="304">
        <v>2</v>
      </c>
      <c r="S19" s="305">
        <v>2.2222222222222223E-2</v>
      </c>
      <c r="T19" s="305">
        <v>1.9607843137254902E-2</v>
      </c>
      <c r="U19" s="306">
        <v>4</v>
      </c>
      <c r="V19" s="307">
        <v>2.0833333333333332E-2</v>
      </c>
    </row>
    <row r="20" spans="1:22" x14ac:dyDescent="0.35">
      <c r="A20" s="213"/>
      <c r="B20" s="4"/>
      <c r="C20" s="4"/>
      <c r="D20" s="218" t="s">
        <v>2</v>
      </c>
      <c r="E20" s="218" t="s">
        <v>20</v>
      </c>
      <c r="F20" s="218" t="s">
        <v>31</v>
      </c>
      <c r="G20" s="247"/>
      <c r="P20" s="138">
        <v>5</v>
      </c>
      <c r="Q20" s="304">
        <v>5</v>
      </c>
      <c r="R20" s="304">
        <v>3</v>
      </c>
      <c r="S20" s="305">
        <v>5.5555555555555552E-2</v>
      </c>
      <c r="T20" s="305">
        <v>2.9411764705882353E-2</v>
      </c>
      <c r="U20" s="306">
        <v>8</v>
      </c>
      <c r="V20" s="307">
        <v>4.1666666666666664E-2</v>
      </c>
    </row>
    <row r="21" spans="1:22" x14ac:dyDescent="0.35">
      <c r="A21" s="213"/>
      <c r="B21" s="4"/>
      <c r="C21" s="62" t="s">
        <v>791</v>
      </c>
      <c r="D21" s="63">
        <f>SUM(D17:D18)-SUM(D8:D14)</f>
        <v>0.48958333333333337</v>
      </c>
      <c r="E21" s="63">
        <f>SUM(E17:E18)-SUM(E8:E14)</f>
        <v>0.4</v>
      </c>
      <c r="F21" s="63">
        <f>SUM(F17:F18)-SUM(F8:F14)</f>
        <v>0.56862745098039214</v>
      </c>
      <c r="G21" s="247"/>
      <c r="P21" s="138">
        <v>6</v>
      </c>
      <c r="Q21" s="304">
        <v>7</v>
      </c>
      <c r="R21" s="304"/>
      <c r="S21" s="305">
        <v>7.7777777777777779E-2</v>
      </c>
      <c r="T21" s="305">
        <v>0</v>
      </c>
      <c r="U21" s="306">
        <v>7</v>
      </c>
      <c r="V21" s="307">
        <v>3.6458333333333336E-2</v>
      </c>
    </row>
    <row r="22" spans="1:22" ht="15" thickBot="1" x14ac:dyDescent="0.4">
      <c r="A22" s="215"/>
      <c r="B22" s="216"/>
      <c r="C22" s="216"/>
      <c r="D22" s="216"/>
      <c r="E22" s="216"/>
      <c r="F22" s="216"/>
      <c r="G22" s="217"/>
      <c r="P22" s="138">
        <v>7</v>
      </c>
      <c r="Q22" s="304">
        <v>14</v>
      </c>
      <c r="R22" s="304">
        <v>14</v>
      </c>
      <c r="S22" s="305">
        <v>0.15555555555555556</v>
      </c>
      <c r="T22" s="305">
        <v>0.13725490196078433</v>
      </c>
      <c r="U22" s="306">
        <v>28</v>
      </c>
      <c r="V22" s="307">
        <v>0.14583333333333334</v>
      </c>
    </row>
    <row r="23" spans="1:22" x14ac:dyDescent="0.35">
      <c r="P23" s="138">
        <v>8</v>
      </c>
      <c r="Q23" s="304">
        <v>6</v>
      </c>
      <c r="R23" s="304">
        <v>16</v>
      </c>
      <c r="S23" s="305">
        <v>6.6666666666666666E-2</v>
      </c>
      <c r="T23" s="305">
        <v>0.15686274509803921</v>
      </c>
      <c r="U23" s="306">
        <v>22</v>
      </c>
      <c r="V23" s="307">
        <v>0.11458333333333333</v>
      </c>
    </row>
    <row r="24" spans="1:22" x14ac:dyDescent="0.35">
      <c r="P24" s="138">
        <v>9</v>
      </c>
      <c r="Q24" s="304">
        <v>31</v>
      </c>
      <c r="R24" s="304">
        <v>43</v>
      </c>
      <c r="S24" s="305">
        <v>0.34444444444444444</v>
      </c>
      <c r="T24" s="305">
        <v>0.42156862745098039</v>
      </c>
      <c r="U24" s="306">
        <v>74</v>
      </c>
      <c r="V24" s="307">
        <v>0.38541666666666669</v>
      </c>
    </row>
    <row r="25" spans="1:22" x14ac:dyDescent="0.35">
      <c r="P25" s="138">
        <v>10</v>
      </c>
      <c r="Q25" s="304">
        <v>22</v>
      </c>
      <c r="R25" s="304">
        <v>22</v>
      </c>
      <c r="S25" s="305">
        <v>0.24444444444444444</v>
      </c>
      <c r="T25" s="305">
        <v>0.21568627450980393</v>
      </c>
      <c r="U25" s="306">
        <v>44</v>
      </c>
      <c r="V25" s="307">
        <v>0.22916666666666666</v>
      </c>
    </row>
    <row r="26" spans="1:22" x14ac:dyDescent="0.35">
      <c r="P26" s="138" t="s">
        <v>1012</v>
      </c>
      <c r="Q26" s="306">
        <v>90</v>
      </c>
      <c r="R26" s="306">
        <v>102</v>
      </c>
      <c r="S26" s="307">
        <v>1</v>
      </c>
      <c r="T26" s="307">
        <v>1</v>
      </c>
      <c r="U26" s="306">
        <v>192</v>
      </c>
      <c r="V26" s="307">
        <v>1</v>
      </c>
    </row>
    <row r="27" spans="1:22" x14ac:dyDescent="0.35">
      <c r="P27"/>
      <c r="Q27"/>
      <c r="R27"/>
    </row>
    <row r="28" spans="1:22" x14ac:dyDescent="0.35">
      <c r="P28"/>
      <c r="Q28"/>
      <c r="R28"/>
    </row>
    <row r="29" spans="1:22" x14ac:dyDescent="0.35">
      <c r="P29"/>
      <c r="Q29"/>
      <c r="R29"/>
    </row>
    <row r="31" spans="1:22" x14ac:dyDescent="0.35">
      <c r="I31"/>
    </row>
    <row r="32" spans="1:22" x14ac:dyDescent="0.35">
      <c r="I32" s="58"/>
    </row>
    <row r="33" spans="9:9" x14ac:dyDescent="0.35">
      <c r="I33" s="58"/>
    </row>
    <row r="34" spans="9:9" x14ac:dyDescent="0.35">
      <c r="I34" s="58"/>
    </row>
    <row r="35" spans="9:9" x14ac:dyDescent="0.35">
      <c r="I35" s="58"/>
    </row>
    <row r="36" spans="9:9" x14ac:dyDescent="0.35">
      <c r="I36" s="58"/>
    </row>
    <row r="37" spans="9:9" x14ac:dyDescent="0.35">
      <c r="I37" s="58"/>
    </row>
    <row r="38" spans="9:9" x14ac:dyDescent="0.35">
      <c r="I38" s="58"/>
    </row>
    <row r="43" spans="9:9" x14ac:dyDescent="0.35">
      <c r="I43" s="7"/>
    </row>
    <row r="56" spans="9:9" x14ac:dyDescent="0.35">
      <c r="I56" s="7"/>
    </row>
  </sheetData>
  <pageMargins left="0.7" right="0.7" top="0.75" bottom="0.75" header="0.3" footer="0.3"/>
  <pageSetup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A55"/>
  <sheetViews>
    <sheetView showGridLines="0" topLeftCell="H13" workbookViewId="0">
      <selection activeCell="L34" sqref="L34"/>
    </sheetView>
  </sheetViews>
  <sheetFormatPr defaultColWidth="9.1796875" defaultRowHeight="14.5" x14ac:dyDescent="0.35"/>
  <cols>
    <col min="1" max="1" width="1.54296875" style="28" customWidth="1"/>
    <col min="2" max="2" width="2.54296875" style="28" customWidth="1"/>
    <col min="3" max="3" width="25.54296875" style="28" customWidth="1"/>
    <col min="4" max="15" width="10.54296875" style="28" customWidth="1"/>
    <col min="16" max="16" width="23.453125" style="28" customWidth="1"/>
    <col min="17" max="17" width="25.453125" style="28" customWidth="1"/>
    <col min="18" max="18" width="26.26953125" style="28" customWidth="1"/>
    <col min="19" max="19" width="20" style="28" customWidth="1"/>
    <col min="20" max="20" width="21.1796875" style="28" customWidth="1"/>
    <col min="21" max="21" width="12.453125" style="28" customWidth="1"/>
    <col min="22" max="22" width="15.26953125" style="28" customWidth="1"/>
    <col min="23" max="23" width="11.453125" style="28" customWidth="1"/>
    <col min="24" max="24" width="14.26953125" style="28" customWidth="1"/>
    <col min="25" max="25" width="12.26953125" style="28" customWidth="1"/>
    <col min="26" max="26" width="18.7265625" style="28" customWidth="1"/>
    <col min="27" max="27" width="19.54296875" style="28" customWidth="1"/>
    <col min="28" max="16384" width="9.1796875" style="28"/>
  </cols>
  <sheetData>
    <row r="1" spans="2:9" ht="7" customHeight="1" x14ac:dyDescent="0.35"/>
    <row r="2" spans="2:9" ht="18.5" x14ac:dyDescent="0.45">
      <c r="B2" s="19" t="s">
        <v>4</v>
      </c>
    </row>
    <row r="3" spans="2:9" ht="15.5" x14ac:dyDescent="0.35">
      <c r="B3" s="154" t="s">
        <v>1003</v>
      </c>
    </row>
    <row r="4" spans="2:9" s="145" customFormat="1" ht="15" thickBot="1" x14ac:dyDescent="0.4"/>
    <row r="5" spans="2:9" ht="15.5" x14ac:dyDescent="0.35">
      <c r="B5" s="230" t="s">
        <v>815</v>
      </c>
      <c r="C5" s="208"/>
      <c r="D5" s="208"/>
      <c r="E5" s="208"/>
      <c r="F5" s="208"/>
      <c r="G5" s="208"/>
      <c r="H5" s="209"/>
    </row>
    <row r="6" spans="2:9" x14ac:dyDescent="0.35">
      <c r="B6" s="213"/>
      <c r="C6" s="4"/>
      <c r="D6" s="4"/>
      <c r="E6" s="4"/>
      <c r="F6" s="4"/>
      <c r="G6" s="4"/>
      <c r="H6" s="212"/>
    </row>
    <row r="7" spans="2:9" x14ac:dyDescent="0.35">
      <c r="B7" s="213"/>
      <c r="C7" s="218" t="s">
        <v>816</v>
      </c>
      <c r="D7" s="218" t="s">
        <v>2</v>
      </c>
      <c r="E7" s="309" t="s">
        <v>20</v>
      </c>
      <c r="F7" s="309" t="s">
        <v>31</v>
      </c>
      <c r="G7" s="60"/>
      <c r="H7" s="247"/>
    </row>
    <row r="8" spans="2:9" x14ac:dyDescent="0.35">
      <c r="B8" s="213"/>
      <c r="C8" s="62" t="s">
        <v>799</v>
      </c>
      <c r="D8" s="308">
        <v>0.171875</v>
      </c>
      <c r="E8" s="312">
        <v>0.2</v>
      </c>
      <c r="F8" s="312">
        <v>0.14705882352941177</v>
      </c>
      <c r="G8" s="60"/>
      <c r="H8" s="247"/>
    </row>
    <row r="9" spans="2:9" x14ac:dyDescent="0.35">
      <c r="B9" s="213"/>
      <c r="C9" s="62" t="s">
        <v>800</v>
      </c>
      <c r="D9" s="308">
        <v>0.109375</v>
      </c>
      <c r="E9" s="312">
        <v>0.14444444444444443</v>
      </c>
      <c r="F9" s="312">
        <v>7.8431372549019607E-2</v>
      </c>
      <c r="G9" s="60"/>
      <c r="H9" s="247"/>
    </row>
    <row r="10" spans="2:9" x14ac:dyDescent="0.35">
      <c r="B10" s="213"/>
      <c r="C10" s="62" t="s">
        <v>997</v>
      </c>
      <c r="D10" s="308">
        <v>0.24479166666666666</v>
      </c>
      <c r="E10" s="312">
        <v>0.16666666666666666</v>
      </c>
      <c r="F10" s="312">
        <v>0.31372549019607843</v>
      </c>
      <c r="G10" s="60"/>
      <c r="H10" s="247"/>
    </row>
    <row r="11" spans="2:9" x14ac:dyDescent="0.35">
      <c r="B11" s="213"/>
      <c r="C11" s="62" t="s">
        <v>802</v>
      </c>
      <c r="D11" s="308">
        <v>0.15625</v>
      </c>
      <c r="E11" s="312">
        <v>0.15555555555555556</v>
      </c>
      <c r="F11" s="312">
        <v>0.15686274509803921</v>
      </c>
      <c r="G11" s="60"/>
      <c r="H11" s="247"/>
    </row>
    <row r="12" spans="2:9" x14ac:dyDescent="0.35">
      <c r="B12" s="213"/>
      <c r="C12" s="62" t="s">
        <v>803</v>
      </c>
      <c r="D12" s="308">
        <v>0.13020833333333334</v>
      </c>
      <c r="E12" s="312">
        <v>7.7777777777777779E-2</v>
      </c>
      <c r="F12" s="312">
        <v>0.17647058823529413</v>
      </c>
      <c r="G12" s="60"/>
      <c r="H12" s="247"/>
    </row>
    <row r="13" spans="2:9" x14ac:dyDescent="0.35">
      <c r="B13" s="213"/>
      <c r="C13" s="62" t="s">
        <v>801</v>
      </c>
      <c r="D13" s="308">
        <v>0.1875</v>
      </c>
      <c r="E13" s="312">
        <v>0.25555555555555554</v>
      </c>
      <c r="F13" s="312">
        <v>0.12745098039215685</v>
      </c>
      <c r="G13" s="60"/>
      <c r="H13" s="247"/>
    </row>
    <row r="14" spans="2:9" ht="15" thickBot="1" x14ac:dyDescent="0.4">
      <c r="B14" s="213"/>
      <c r="C14" s="59"/>
      <c r="D14" s="59"/>
      <c r="E14" s="60"/>
      <c r="F14" s="59"/>
      <c r="G14" s="60"/>
      <c r="H14" s="247"/>
    </row>
    <row r="15" spans="2:9" x14ac:dyDescent="0.35">
      <c r="B15" s="231"/>
      <c r="C15" s="248" t="s">
        <v>918</v>
      </c>
      <c r="D15" s="208"/>
      <c r="E15" s="208"/>
      <c r="F15" s="249" t="s">
        <v>31</v>
      </c>
      <c r="G15" s="208"/>
      <c r="H15" s="208"/>
      <c r="I15" s="209"/>
    </row>
    <row r="16" spans="2:9" s="145" customFormat="1" x14ac:dyDescent="0.35">
      <c r="B16" s="213"/>
      <c r="C16" s="223" t="s">
        <v>919</v>
      </c>
      <c r="D16" s="4"/>
      <c r="E16" s="4"/>
      <c r="F16" s="119" t="s">
        <v>1027</v>
      </c>
      <c r="G16" s="4"/>
      <c r="H16" s="4"/>
      <c r="I16" s="212"/>
    </row>
    <row r="17" spans="2:18" s="145" customFormat="1" x14ac:dyDescent="0.35">
      <c r="B17" s="213"/>
      <c r="C17" s="223" t="s">
        <v>920</v>
      </c>
      <c r="D17" s="4"/>
      <c r="E17" s="4"/>
      <c r="F17" s="150" t="s">
        <v>1030</v>
      </c>
      <c r="G17" s="152"/>
      <c r="H17" s="151"/>
      <c r="I17" s="212"/>
    </row>
    <row r="18" spans="2:18" s="145" customFormat="1" ht="15" thickBot="1" x14ac:dyDescent="0.4">
      <c r="B18" s="215"/>
      <c r="C18" s="216"/>
      <c r="D18" s="216"/>
      <c r="E18" s="216"/>
      <c r="F18" s="216"/>
      <c r="G18" s="216"/>
      <c r="H18" s="216"/>
      <c r="I18" s="217"/>
    </row>
    <row r="19" spans="2:18" ht="15.5" x14ac:dyDescent="0.35">
      <c r="B19" s="230" t="s">
        <v>999</v>
      </c>
      <c r="C19" s="208"/>
      <c r="D19" s="208"/>
      <c r="E19" s="208"/>
      <c r="F19" s="208"/>
      <c r="G19" s="208"/>
      <c r="H19" s="208"/>
      <c r="I19" s="209"/>
    </row>
    <row r="20" spans="2:18" x14ac:dyDescent="0.35">
      <c r="B20" s="213"/>
      <c r="C20" s="4"/>
      <c r="D20" s="4"/>
      <c r="E20" s="4"/>
      <c r="F20" s="4"/>
      <c r="G20" s="4"/>
      <c r="H20" s="4"/>
      <c r="I20" s="212"/>
    </row>
    <row r="21" spans="2:18" x14ac:dyDescent="0.35">
      <c r="B21" s="213"/>
      <c r="C21" s="218" t="s">
        <v>817</v>
      </c>
      <c r="D21" s="309" t="s">
        <v>2</v>
      </c>
      <c r="E21" s="309" t="s">
        <v>20</v>
      </c>
      <c r="F21" s="309" t="s">
        <v>31</v>
      </c>
      <c r="G21" s="4"/>
      <c r="H21" s="4"/>
      <c r="I21" s="212"/>
    </row>
    <row r="22" spans="2:18" x14ac:dyDescent="0.35">
      <c r="B22" s="213"/>
      <c r="C22" s="316" t="s">
        <v>805</v>
      </c>
      <c r="D22" s="312">
        <v>0.28125</v>
      </c>
      <c r="E22" s="315">
        <v>0.21111111111111111</v>
      </c>
      <c r="F22" s="315">
        <v>0.34313725490196079</v>
      </c>
      <c r="G22" s="4"/>
      <c r="H22" s="4"/>
      <c r="I22" s="212"/>
    </row>
    <row r="23" spans="2:18" x14ac:dyDescent="0.35">
      <c r="B23" s="213"/>
      <c r="C23" s="316" t="s">
        <v>807</v>
      </c>
      <c r="D23" s="312">
        <v>0.38541666666666669</v>
      </c>
      <c r="E23" s="315">
        <v>0.41111111111111109</v>
      </c>
      <c r="F23" s="315">
        <v>0.36274509803921567</v>
      </c>
      <c r="G23" s="4"/>
      <c r="H23" s="4"/>
      <c r="I23" s="212"/>
    </row>
    <row r="24" spans="2:18" x14ac:dyDescent="0.35">
      <c r="B24" s="213"/>
      <c r="C24" s="316" t="s">
        <v>806</v>
      </c>
      <c r="D24" s="312">
        <v>0.11979166666666667</v>
      </c>
      <c r="E24" s="315">
        <v>0.13333333333333333</v>
      </c>
      <c r="F24" s="315">
        <v>0.10784313725490197</v>
      </c>
      <c r="G24" s="4"/>
      <c r="H24" s="4"/>
      <c r="I24" s="212"/>
    </row>
    <row r="25" spans="2:18" x14ac:dyDescent="0.35">
      <c r="B25" s="213"/>
      <c r="C25" s="316" t="s">
        <v>808</v>
      </c>
      <c r="D25" s="312">
        <v>0.15625</v>
      </c>
      <c r="E25" s="315">
        <v>0.18888888888888888</v>
      </c>
      <c r="F25" s="315">
        <v>0.12745098039215685</v>
      </c>
      <c r="G25" s="4"/>
      <c r="H25" s="4"/>
      <c r="I25" s="212"/>
    </row>
    <row r="26" spans="2:18" x14ac:dyDescent="0.35">
      <c r="B26" s="213"/>
      <c r="C26" s="316" t="s">
        <v>809</v>
      </c>
      <c r="D26" s="312">
        <v>5.7291666666666664E-2</v>
      </c>
      <c r="E26" s="315">
        <v>5.5555555555555552E-2</v>
      </c>
      <c r="F26" s="315">
        <v>5.8823529411764705E-2</v>
      </c>
      <c r="G26" s="4"/>
      <c r="H26" s="4"/>
      <c r="I26" s="212"/>
    </row>
    <row r="27" spans="2:18" x14ac:dyDescent="0.35">
      <c r="B27" s="213"/>
      <c r="C27" s="4"/>
      <c r="D27" s="4"/>
      <c r="E27" s="4"/>
      <c r="F27" s="4"/>
      <c r="G27" s="4"/>
      <c r="H27" s="4"/>
      <c r="I27" s="212"/>
      <c r="P27"/>
      <c r="Q27"/>
      <c r="R27"/>
    </row>
    <row r="28" spans="2:18" x14ac:dyDescent="0.35">
      <c r="B28" s="213"/>
      <c r="C28" s="4"/>
      <c r="D28" s="218" t="s">
        <v>2</v>
      </c>
      <c r="E28" s="218" t="s">
        <v>20</v>
      </c>
      <c r="F28" s="218" t="s">
        <v>31</v>
      </c>
      <c r="G28" s="4"/>
      <c r="H28" s="4"/>
      <c r="I28" s="212"/>
      <c r="P28"/>
      <c r="Q28"/>
      <c r="R28"/>
    </row>
    <row r="29" spans="2:18" x14ac:dyDescent="0.35">
      <c r="B29" s="213"/>
      <c r="C29" s="62" t="s">
        <v>819</v>
      </c>
      <c r="D29" s="63">
        <f>SUM(D22+D23)</f>
        <v>0.66666666666666674</v>
      </c>
      <c r="E29" s="63">
        <f>SUM(E23,E22)</f>
        <v>0.62222222222222223</v>
      </c>
      <c r="F29" s="63">
        <f>SUM(F23,F22)</f>
        <v>0.70588235294117641</v>
      </c>
      <c r="G29" s="4"/>
      <c r="H29" s="4"/>
      <c r="I29" s="212"/>
      <c r="P29"/>
      <c r="Q29"/>
      <c r="R29"/>
    </row>
    <row r="30" spans="2:18" x14ac:dyDescent="0.35">
      <c r="B30" s="213"/>
      <c r="C30" s="4"/>
      <c r="D30" s="4"/>
      <c r="E30" s="4"/>
      <c r="F30" s="4"/>
      <c r="G30" s="4"/>
      <c r="H30" s="4"/>
      <c r="I30" s="212"/>
      <c r="P30"/>
      <c r="Q30"/>
      <c r="R30"/>
    </row>
    <row r="31" spans="2:18" s="145" customFormat="1" x14ac:dyDescent="0.35">
      <c r="B31" s="213"/>
      <c r="C31" s="223" t="s">
        <v>921</v>
      </c>
      <c r="D31" s="4"/>
      <c r="E31" s="4"/>
      <c r="F31" s="150" t="s">
        <v>1041</v>
      </c>
      <c r="G31" s="152"/>
      <c r="H31" s="151"/>
      <c r="I31" s="212"/>
      <c r="P31"/>
      <c r="Q31"/>
      <c r="R31"/>
    </row>
    <row r="32" spans="2:18" s="145" customFormat="1" x14ac:dyDescent="0.35">
      <c r="B32" s="213"/>
      <c r="C32" s="4"/>
      <c r="D32" s="4"/>
      <c r="E32" s="4"/>
      <c r="F32" s="4"/>
      <c r="G32" s="4"/>
      <c r="H32" s="4"/>
      <c r="I32" s="212"/>
      <c r="P32"/>
      <c r="Q32"/>
      <c r="R32"/>
    </row>
    <row r="33" spans="2:27" s="145" customFormat="1" x14ac:dyDescent="0.35">
      <c r="B33" s="213"/>
      <c r="C33" s="4"/>
      <c r="D33" s="4"/>
      <c r="E33" s="4"/>
      <c r="F33" s="4"/>
      <c r="G33" s="4"/>
      <c r="H33" s="4"/>
      <c r="I33" s="212"/>
      <c r="P33"/>
      <c r="Q33"/>
      <c r="R33"/>
    </row>
    <row r="34" spans="2:27" s="145" customFormat="1" x14ac:dyDescent="0.35">
      <c r="B34" s="213"/>
      <c r="C34" s="4"/>
      <c r="D34" s="4"/>
      <c r="E34" s="4"/>
      <c r="F34" s="4"/>
      <c r="G34" s="4"/>
      <c r="H34" s="4"/>
      <c r="I34" s="212"/>
      <c r="P34"/>
      <c r="Q34"/>
      <c r="R34"/>
    </row>
    <row r="35" spans="2:27" s="145" customFormat="1" x14ac:dyDescent="0.35">
      <c r="B35" s="213"/>
      <c r="C35" s="4"/>
      <c r="D35" s="4"/>
      <c r="E35" s="4"/>
      <c r="F35" s="4"/>
      <c r="G35" s="4"/>
      <c r="H35" s="4"/>
      <c r="I35" s="212"/>
    </row>
    <row r="36" spans="2:27" s="145" customFormat="1" x14ac:dyDescent="0.35">
      <c r="B36" s="213"/>
      <c r="C36" s="245" t="s">
        <v>922</v>
      </c>
      <c r="D36" s="4"/>
      <c r="E36" s="4"/>
      <c r="F36" s="98"/>
      <c r="G36" s="98"/>
      <c r="H36" s="98"/>
      <c r="I36" s="212"/>
    </row>
    <row r="37" spans="2:27" s="145" customFormat="1" ht="15" thickBot="1" x14ac:dyDescent="0.4">
      <c r="B37" s="215"/>
      <c r="C37" s="216" t="s">
        <v>1042</v>
      </c>
      <c r="D37" s="216"/>
      <c r="E37" s="216"/>
      <c r="F37" s="216"/>
      <c r="G37" s="216"/>
      <c r="H37" s="216"/>
      <c r="I37" s="217"/>
    </row>
    <row r="38" spans="2:27" x14ac:dyDescent="0.35">
      <c r="U38" s="138"/>
      <c r="V38" s="302" t="s">
        <v>1014</v>
      </c>
      <c r="W38" s="138"/>
      <c r="X38" s="138"/>
      <c r="Y38" s="138"/>
      <c r="Z38" s="138"/>
      <c r="AA38" s="138"/>
    </row>
    <row r="39" spans="2:27" x14ac:dyDescent="0.35">
      <c r="U39" s="138"/>
      <c r="V39" s="303" t="s">
        <v>1021</v>
      </c>
      <c r="W39" s="303"/>
      <c r="X39" s="303" t="s">
        <v>1022</v>
      </c>
      <c r="Y39" s="303"/>
      <c r="Z39" s="138" t="s">
        <v>1023</v>
      </c>
      <c r="AA39" s="138" t="s">
        <v>1024</v>
      </c>
    </row>
    <row r="40" spans="2:27" x14ac:dyDescent="0.35">
      <c r="U40" s="302" t="s">
        <v>1011</v>
      </c>
      <c r="V40" s="303" t="s">
        <v>20</v>
      </c>
      <c r="W40" s="303" t="s">
        <v>31</v>
      </c>
      <c r="X40" s="303" t="s">
        <v>20</v>
      </c>
      <c r="Y40" s="303" t="s">
        <v>31</v>
      </c>
      <c r="Z40" s="138"/>
      <c r="AA40" s="138"/>
    </row>
    <row r="41" spans="2:27" x14ac:dyDescent="0.35">
      <c r="U41" s="138" t="s">
        <v>805</v>
      </c>
      <c r="V41" s="313">
        <v>19</v>
      </c>
      <c r="W41" s="313">
        <v>35</v>
      </c>
      <c r="X41" s="314">
        <v>0.21111111111111111</v>
      </c>
      <c r="Y41" s="314">
        <v>0.34313725490196079</v>
      </c>
      <c r="Z41" s="306">
        <v>54</v>
      </c>
      <c r="AA41" s="307">
        <v>0.28125</v>
      </c>
    </row>
    <row r="42" spans="2:27" x14ac:dyDescent="0.35">
      <c r="U42" s="138" t="s">
        <v>807</v>
      </c>
      <c r="V42" s="313">
        <v>37</v>
      </c>
      <c r="W42" s="313">
        <v>37</v>
      </c>
      <c r="X42" s="314">
        <v>0.41111111111111109</v>
      </c>
      <c r="Y42" s="314">
        <v>0.36274509803921567</v>
      </c>
      <c r="Z42" s="306">
        <v>74</v>
      </c>
      <c r="AA42" s="307">
        <v>0.38541666666666669</v>
      </c>
    </row>
    <row r="43" spans="2:27" x14ac:dyDescent="0.35">
      <c r="U43" s="138" t="s">
        <v>808</v>
      </c>
      <c r="V43" s="313">
        <v>12</v>
      </c>
      <c r="W43" s="313">
        <v>11</v>
      </c>
      <c r="X43" s="314">
        <v>0.13333333333333333</v>
      </c>
      <c r="Y43" s="314">
        <v>0.10784313725490197</v>
      </c>
      <c r="Z43" s="306">
        <v>23</v>
      </c>
      <c r="AA43" s="307">
        <v>0.11979166666666667</v>
      </c>
    </row>
    <row r="44" spans="2:27" x14ac:dyDescent="0.35">
      <c r="U44" s="138" t="s">
        <v>806</v>
      </c>
      <c r="V44" s="313">
        <v>17</v>
      </c>
      <c r="W44" s="313">
        <v>13</v>
      </c>
      <c r="X44" s="314">
        <v>0.18888888888888888</v>
      </c>
      <c r="Y44" s="314">
        <v>0.12745098039215685</v>
      </c>
      <c r="Z44" s="306">
        <v>30</v>
      </c>
      <c r="AA44" s="307">
        <v>0.15625</v>
      </c>
    </row>
    <row r="45" spans="2:27" x14ac:dyDescent="0.35">
      <c r="U45" s="138" t="s">
        <v>809</v>
      </c>
      <c r="V45" s="313">
        <v>5</v>
      </c>
      <c r="W45" s="313">
        <v>6</v>
      </c>
      <c r="X45" s="314">
        <v>5.5555555555555552E-2</v>
      </c>
      <c r="Y45" s="314">
        <v>5.8823529411764705E-2</v>
      </c>
      <c r="Z45" s="306">
        <v>11</v>
      </c>
      <c r="AA45" s="307">
        <v>5.7291666666666664E-2</v>
      </c>
    </row>
    <row r="46" spans="2:27" x14ac:dyDescent="0.35">
      <c r="U46" s="138" t="s">
        <v>1012</v>
      </c>
      <c r="V46" s="306">
        <v>90</v>
      </c>
      <c r="W46" s="306">
        <v>102</v>
      </c>
      <c r="X46" s="307">
        <v>1</v>
      </c>
      <c r="Y46" s="307">
        <v>1</v>
      </c>
      <c r="Z46" s="306">
        <v>192</v>
      </c>
      <c r="AA46" s="307">
        <v>1</v>
      </c>
    </row>
    <row r="47" spans="2:27" x14ac:dyDescent="0.35">
      <c r="U47"/>
      <c r="V47"/>
      <c r="W47"/>
    </row>
    <row r="48" spans="2:27" x14ac:dyDescent="0.35">
      <c r="U48"/>
      <c r="V48"/>
      <c r="W48"/>
    </row>
    <row r="49" spans="21:23" x14ac:dyDescent="0.35">
      <c r="U49"/>
      <c r="V49"/>
      <c r="W49"/>
    </row>
    <row r="50" spans="21:23" x14ac:dyDescent="0.35">
      <c r="U50"/>
      <c r="V50"/>
      <c r="W50"/>
    </row>
    <row r="51" spans="21:23" x14ac:dyDescent="0.35">
      <c r="U51"/>
      <c r="V51"/>
      <c r="W51"/>
    </row>
    <row r="52" spans="21:23" x14ac:dyDescent="0.35">
      <c r="U52"/>
      <c r="V52"/>
      <c r="W52"/>
    </row>
    <row r="53" spans="21:23" x14ac:dyDescent="0.35">
      <c r="U53"/>
      <c r="V53"/>
      <c r="W53"/>
    </row>
    <row r="54" spans="21:23" x14ac:dyDescent="0.35">
      <c r="U54"/>
      <c r="V54"/>
      <c r="W54"/>
    </row>
    <row r="55" spans="21:23" x14ac:dyDescent="0.35">
      <c r="U55"/>
      <c r="V55"/>
      <c r="W55"/>
    </row>
  </sheetData>
  <pageMargins left="0.7" right="0.7" top="0.75" bottom="0.75" header="0.3" footer="0.3"/>
  <pageSetup scale="90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B33"/>
  <sheetViews>
    <sheetView showGridLines="0" topLeftCell="B3" workbookViewId="0">
      <selection activeCell="J7" sqref="J7"/>
    </sheetView>
  </sheetViews>
  <sheetFormatPr defaultColWidth="9.1796875" defaultRowHeight="14.5" x14ac:dyDescent="0.35"/>
  <cols>
    <col min="1" max="1" width="1.54296875" style="28" customWidth="1"/>
    <col min="2" max="2" width="15.54296875" style="28" customWidth="1"/>
    <col min="3" max="12" width="12.54296875" style="28" customWidth="1"/>
    <col min="13" max="16384" width="9.1796875" style="28"/>
  </cols>
  <sheetData>
    <row r="1" spans="1:28" ht="7" customHeight="1" x14ac:dyDescent="0.35"/>
    <row r="2" spans="1:28" ht="19" thickBot="1" x14ac:dyDescent="0.5">
      <c r="B2" s="19" t="s">
        <v>1004</v>
      </c>
      <c r="C2" s="19"/>
      <c r="E2" s="61"/>
    </row>
    <row r="3" spans="1:28" x14ac:dyDescent="0.35">
      <c r="B3" s="250"/>
      <c r="C3" s="251"/>
      <c r="D3" s="252" t="s">
        <v>872</v>
      </c>
      <c r="E3" s="253"/>
      <c r="F3" s="254"/>
      <c r="G3" s="255"/>
      <c r="H3" s="255"/>
      <c r="I3" s="255"/>
      <c r="J3" s="255"/>
      <c r="K3" s="255"/>
      <c r="L3" s="256"/>
    </row>
    <row r="4" spans="1:28" ht="15.5" x14ac:dyDescent="0.35">
      <c r="B4" s="257"/>
      <c r="C4" s="258"/>
      <c r="D4" s="4"/>
      <c r="E4" s="4"/>
      <c r="F4" s="259"/>
      <c r="G4" s="4"/>
      <c r="H4" s="4"/>
      <c r="I4" s="4"/>
      <c r="J4" s="4"/>
      <c r="K4" s="4"/>
      <c r="L4" s="212"/>
    </row>
    <row r="5" spans="1:28" ht="29" x14ac:dyDescent="0.35">
      <c r="B5" s="269" t="s">
        <v>816</v>
      </c>
      <c r="C5" s="270" t="s">
        <v>820</v>
      </c>
      <c r="D5" s="271" t="s">
        <v>821</v>
      </c>
      <c r="E5" s="271" t="s">
        <v>831</v>
      </c>
      <c r="F5" s="271" t="s">
        <v>27</v>
      </c>
      <c r="G5" s="271" t="s">
        <v>823</v>
      </c>
      <c r="H5" s="271" t="s">
        <v>822</v>
      </c>
      <c r="I5" s="272" t="s">
        <v>827</v>
      </c>
      <c r="J5" s="272" t="s">
        <v>824</v>
      </c>
      <c r="K5" s="271" t="s">
        <v>825</v>
      </c>
      <c r="L5" s="273" t="s">
        <v>826</v>
      </c>
    </row>
    <row r="6" spans="1:28" x14ac:dyDescent="0.35">
      <c r="B6" s="260" t="s">
        <v>20</v>
      </c>
      <c r="C6" s="70">
        <f>'1.1 PPC Analyis'!E17</f>
        <v>5952</v>
      </c>
      <c r="D6" s="73">
        <f>'1.1 PPC Analyis'!E15</f>
        <v>9680.4999999999964</v>
      </c>
      <c r="E6" s="74">
        <f>D6/C6</f>
        <v>1.6264280913978488</v>
      </c>
      <c r="F6" s="70">
        <f>'1.1 PPC Analyis'!E18</f>
        <v>403</v>
      </c>
      <c r="G6" s="75">
        <f>F6/C6</f>
        <v>6.7708333333333329E-2</v>
      </c>
      <c r="H6" s="72">
        <f>'1.2 Customer Analysis'!E8</f>
        <v>123</v>
      </c>
      <c r="I6" s="73">
        <f>D6/H6</f>
        <v>78.703252032520297</v>
      </c>
      <c r="J6" s="75">
        <f>H6/F6</f>
        <v>0.30521091811414391</v>
      </c>
      <c r="K6" s="76">
        <f>'1.2 Customer Analysis'!E12</f>
        <v>328.5691056910569</v>
      </c>
      <c r="L6" s="261">
        <f>'1.4 Survey Analysis'!E29</f>
        <v>0.62222222222222223</v>
      </c>
    </row>
    <row r="7" spans="1:28" x14ac:dyDescent="0.35">
      <c r="B7" s="260" t="s">
        <v>851</v>
      </c>
      <c r="C7" s="70">
        <f>'1.1 PPC Analyis'!F17</f>
        <v>3470</v>
      </c>
      <c r="D7" s="73">
        <f>'1.1 PPC Analyis'!F15</f>
        <v>7101.5400000000009</v>
      </c>
      <c r="E7" s="74">
        <f t="shared" ref="E7:E9" si="0">D7/C7</f>
        <v>2.0465533141210379</v>
      </c>
      <c r="F7" s="70">
        <f>'1.1 PPC Analyis'!F18</f>
        <v>373</v>
      </c>
      <c r="G7" s="75">
        <f t="shared" ref="G7:G9" si="1">F7/C7</f>
        <v>0.10749279538904899</v>
      </c>
      <c r="H7" s="72">
        <f>'1.2 Customer Analysis'!F8</f>
        <v>129</v>
      </c>
      <c r="I7" s="73">
        <f>D7/H7</f>
        <v>55.050697674418615</v>
      </c>
      <c r="J7" s="75">
        <f>H7/F7</f>
        <v>0.34584450402144773</v>
      </c>
      <c r="K7" s="76">
        <f>'1.2 Customer Analysis'!F12</f>
        <v>337.72868217054264</v>
      </c>
      <c r="L7" s="261">
        <f>'1.4 Survey Analysis'!F29</f>
        <v>0.70588235294117641</v>
      </c>
    </row>
    <row r="8" spans="1:28" x14ac:dyDescent="0.35">
      <c r="B8" s="262" t="s">
        <v>848</v>
      </c>
      <c r="C8" s="101">
        <v>1000</v>
      </c>
      <c r="D8" s="102">
        <v>5000</v>
      </c>
      <c r="E8" s="74">
        <f t="shared" si="0"/>
        <v>5</v>
      </c>
      <c r="F8" s="101">
        <v>75</v>
      </c>
      <c r="G8" s="75">
        <f t="shared" si="1"/>
        <v>7.4999999999999997E-2</v>
      </c>
      <c r="H8" s="100">
        <v>35</v>
      </c>
      <c r="I8" s="73">
        <f t="shared" ref="I8:I9" si="2">D8/H8</f>
        <v>142.85714285714286</v>
      </c>
      <c r="J8" s="75">
        <f t="shared" ref="J8:J9" si="3">H8/F8</f>
        <v>0.46666666666666667</v>
      </c>
      <c r="K8" s="99">
        <v>300</v>
      </c>
      <c r="L8" s="263">
        <v>0.7</v>
      </c>
    </row>
    <row r="9" spans="1:28" ht="15" thickBot="1" x14ac:dyDescent="0.4">
      <c r="B9" s="264" t="s">
        <v>1007</v>
      </c>
      <c r="C9" s="265">
        <v>50000</v>
      </c>
      <c r="D9" s="266">
        <v>17000</v>
      </c>
      <c r="E9" s="74">
        <f t="shared" si="0"/>
        <v>0.34</v>
      </c>
      <c r="F9" s="265">
        <v>15000</v>
      </c>
      <c r="G9" s="75">
        <f t="shared" si="1"/>
        <v>0.3</v>
      </c>
      <c r="H9" s="100">
        <v>175</v>
      </c>
      <c r="I9" s="73">
        <v>37.5</v>
      </c>
      <c r="J9" s="75">
        <f t="shared" si="3"/>
        <v>1.1666666666666667E-2</v>
      </c>
      <c r="K9" s="267">
        <v>359</v>
      </c>
      <c r="L9" s="268">
        <v>0.62</v>
      </c>
    </row>
    <row r="10" spans="1:28" ht="15" thickBot="1" x14ac:dyDescent="0.4">
      <c r="F10" s="67"/>
    </row>
    <row r="11" spans="1:28" x14ac:dyDescent="0.35">
      <c r="A11" s="231"/>
      <c r="B11" s="208"/>
      <c r="C11" s="208"/>
      <c r="D11" s="208"/>
      <c r="E11" s="208"/>
      <c r="F11" s="274"/>
    </row>
    <row r="12" spans="1:28" ht="15.5" x14ac:dyDescent="0.35">
      <c r="A12" s="213"/>
      <c r="B12" s="236" t="s">
        <v>793</v>
      </c>
      <c r="C12" s="4"/>
      <c r="D12" s="4"/>
      <c r="E12" s="4"/>
      <c r="F12" s="212"/>
      <c r="J12" s="77"/>
    </row>
    <row r="13" spans="1:28" x14ac:dyDescent="0.35">
      <c r="A13" s="213"/>
      <c r="B13" s="4"/>
      <c r="C13" s="4"/>
      <c r="D13" s="4"/>
      <c r="E13" s="4"/>
      <c r="F13" s="212"/>
      <c r="J13" s="41"/>
    </row>
    <row r="14" spans="1:28" x14ac:dyDescent="0.35">
      <c r="A14" s="213"/>
      <c r="B14" s="4"/>
      <c r="C14" s="246" t="str">
        <f>B6</f>
        <v>AdWords</v>
      </c>
      <c r="D14" s="246" t="str">
        <f>B7</f>
        <v>Facebook Ad</v>
      </c>
      <c r="E14" s="246" t="str">
        <f>B8</f>
        <v>LinkedIn Ad</v>
      </c>
      <c r="F14" s="275" t="str">
        <f>B9</f>
        <v>Instagram</v>
      </c>
      <c r="G14" s="87"/>
      <c r="H14" s="8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</row>
    <row r="15" spans="1:28" x14ac:dyDescent="0.35">
      <c r="A15" s="213"/>
      <c r="B15" s="4" t="s">
        <v>792</v>
      </c>
      <c r="C15" s="276">
        <f>K6</f>
        <v>328.5691056910569</v>
      </c>
      <c r="D15" s="276">
        <f>K7</f>
        <v>337.72868217054264</v>
      </c>
      <c r="E15" s="276">
        <f>K8</f>
        <v>300</v>
      </c>
      <c r="F15" s="277">
        <f>K9</f>
        <v>359</v>
      </c>
      <c r="G15" s="89"/>
      <c r="H15" s="82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</row>
    <row r="16" spans="1:28" x14ac:dyDescent="0.35">
      <c r="A16" s="213"/>
      <c r="B16" s="4" t="s">
        <v>29</v>
      </c>
      <c r="C16" s="66">
        <v>0.75</v>
      </c>
      <c r="D16" s="42">
        <f>$C$16</f>
        <v>0.75</v>
      </c>
      <c r="E16" s="42">
        <f>$C$16</f>
        <v>0.75</v>
      </c>
      <c r="F16" s="278">
        <f>$C$16</f>
        <v>0.75</v>
      </c>
      <c r="G16" s="90"/>
      <c r="H16" s="82"/>
    </row>
    <row r="17" spans="1:7" x14ac:dyDescent="0.35">
      <c r="A17" s="213"/>
      <c r="B17" s="4" t="s">
        <v>794</v>
      </c>
      <c r="C17" s="335">
        <f>C15*C16</f>
        <v>246.42682926829269</v>
      </c>
      <c r="D17" s="335">
        <f t="shared" ref="D17:F17" si="4">D15*D16</f>
        <v>253.29651162790697</v>
      </c>
      <c r="E17" s="335">
        <f t="shared" si="4"/>
        <v>225</v>
      </c>
      <c r="F17" s="277">
        <f t="shared" si="4"/>
        <v>269.25</v>
      </c>
      <c r="G17" s="89"/>
    </row>
    <row r="18" spans="1:7" x14ac:dyDescent="0.35">
      <c r="A18" s="213"/>
      <c r="B18" s="5" t="s">
        <v>795</v>
      </c>
      <c r="C18" s="242">
        <f>L6</f>
        <v>0.62222222222222223</v>
      </c>
      <c r="D18" s="279">
        <f>L7</f>
        <v>0.70588235294117641</v>
      </c>
      <c r="E18" s="242">
        <f>L8</f>
        <v>0.7</v>
      </c>
      <c r="F18" s="280">
        <f>L9</f>
        <v>0.62</v>
      </c>
      <c r="G18" s="91"/>
    </row>
    <row r="19" spans="1:7" x14ac:dyDescent="0.35">
      <c r="A19" s="213"/>
      <c r="B19" s="5" t="s">
        <v>796</v>
      </c>
      <c r="C19" s="66">
        <v>0.1</v>
      </c>
      <c r="D19" s="42">
        <f>$C$19</f>
        <v>0.1</v>
      </c>
      <c r="E19" s="42">
        <f>$C$19</f>
        <v>0.1</v>
      </c>
      <c r="F19" s="278">
        <f>$C$19</f>
        <v>0.1</v>
      </c>
      <c r="G19" s="90"/>
    </row>
    <row r="20" spans="1:7" x14ac:dyDescent="0.35">
      <c r="A20" s="213"/>
      <c r="B20" s="5" t="s">
        <v>797</v>
      </c>
      <c r="C20" s="276">
        <f>C17*(C18/(1+C19-C18))</f>
        <v>320.92796369824163</v>
      </c>
      <c r="D20" s="276">
        <f t="shared" ref="D20:F20" si="5">D17*(D18/(1+D19-D18))</f>
        <v>453.66539396043015</v>
      </c>
      <c r="E20" s="276">
        <f t="shared" si="5"/>
        <v>393.74999999999983</v>
      </c>
      <c r="F20" s="277">
        <f t="shared" si="5"/>
        <v>347.78124999999989</v>
      </c>
      <c r="G20" s="89"/>
    </row>
    <row r="21" spans="1:7" x14ac:dyDescent="0.35">
      <c r="A21" s="213"/>
      <c r="B21" s="5" t="s">
        <v>827</v>
      </c>
      <c r="C21" s="78">
        <f>-I6</f>
        <v>-78.703252032520297</v>
      </c>
      <c r="D21" s="78">
        <f>-I7</f>
        <v>-55.050697674418615</v>
      </c>
      <c r="E21" s="78">
        <f>-I8</f>
        <v>-142.85714285714286</v>
      </c>
      <c r="F21" s="281">
        <f>-I9</f>
        <v>-37.5</v>
      </c>
      <c r="G21" s="89"/>
    </row>
    <row r="22" spans="1:7" x14ac:dyDescent="0.35">
      <c r="A22" s="213"/>
      <c r="B22" s="79" t="s">
        <v>828</v>
      </c>
      <c r="C22" s="282">
        <f>SUM(C20:C21)</f>
        <v>242.22471166572132</v>
      </c>
      <c r="D22" s="282">
        <f t="shared" ref="D22:F22" si="6">SUM(D20:D21)</f>
        <v>398.61469628601151</v>
      </c>
      <c r="E22" s="282">
        <f t="shared" si="6"/>
        <v>250.89285714285697</v>
      </c>
      <c r="F22" s="283">
        <f t="shared" si="6"/>
        <v>310.28124999999989</v>
      </c>
      <c r="G22" s="92"/>
    </row>
    <row r="23" spans="1:7" ht="15" thickBot="1" x14ac:dyDescent="0.4">
      <c r="A23" s="215"/>
      <c r="B23" s="216"/>
      <c r="C23" s="216"/>
      <c r="D23" s="216"/>
      <c r="E23" s="216"/>
      <c r="F23" s="217"/>
      <c r="G23" s="5"/>
    </row>
    <row r="24" spans="1:7" ht="15" thickBot="1" x14ac:dyDescent="0.4">
      <c r="G24" s="5"/>
    </row>
    <row r="25" spans="1:7" ht="15.5" x14ac:dyDescent="0.35">
      <c r="A25" s="231"/>
      <c r="B25" s="284" t="s">
        <v>830</v>
      </c>
      <c r="C25" s="208"/>
      <c r="D25" s="208"/>
      <c r="E25" s="208"/>
      <c r="F25" s="209"/>
      <c r="G25" s="5"/>
    </row>
    <row r="26" spans="1:7" ht="15.5" x14ac:dyDescent="0.35">
      <c r="A26" s="213"/>
      <c r="B26" s="232"/>
      <c r="C26" s="4"/>
      <c r="D26" s="4"/>
      <c r="E26" s="4"/>
      <c r="F26" s="212"/>
      <c r="G26" s="5"/>
    </row>
    <row r="27" spans="1:7" x14ac:dyDescent="0.35">
      <c r="A27" s="213"/>
      <c r="B27" s="4"/>
      <c r="C27" s="246" t="str">
        <f>C14</f>
        <v>AdWords</v>
      </c>
      <c r="D27" s="246" t="str">
        <f t="shared" ref="D27:F27" si="7">D14</f>
        <v>Facebook Ad</v>
      </c>
      <c r="E27" s="246" t="str">
        <f t="shared" si="7"/>
        <v>LinkedIn Ad</v>
      </c>
      <c r="F27" s="275" t="str">
        <f t="shared" si="7"/>
        <v>Instagram</v>
      </c>
    </row>
    <row r="28" spans="1:7" x14ac:dyDescent="0.35">
      <c r="A28" s="213"/>
      <c r="B28" s="4" t="s">
        <v>21</v>
      </c>
      <c r="C28" s="224"/>
      <c r="D28" s="285">
        <f>$C$28</f>
        <v>0</v>
      </c>
      <c r="E28" s="285">
        <f>$C$28</f>
        <v>0</v>
      </c>
      <c r="F28" s="286">
        <f>$C$28</f>
        <v>0</v>
      </c>
    </row>
    <row r="29" spans="1:7" x14ac:dyDescent="0.35">
      <c r="A29" s="213"/>
      <c r="B29" s="4" t="s">
        <v>832</v>
      </c>
      <c r="C29" s="38">
        <f>E6</f>
        <v>1.6264280913978488</v>
      </c>
      <c r="D29" s="38">
        <f>E7</f>
        <v>2.0465533141210379</v>
      </c>
      <c r="E29" s="38">
        <f>E8</f>
        <v>5</v>
      </c>
      <c r="F29" s="287">
        <f>E9</f>
        <v>0.34</v>
      </c>
    </row>
    <row r="30" spans="1:7" x14ac:dyDescent="0.35">
      <c r="A30" s="213"/>
      <c r="B30" s="225" t="s">
        <v>833</v>
      </c>
      <c r="C30" s="226"/>
      <c r="D30" s="226"/>
      <c r="E30" s="226"/>
      <c r="F30" s="288"/>
    </row>
    <row r="31" spans="1:7" x14ac:dyDescent="0.35">
      <c r="A31" s="213"/>
      <c r="B31" s="4" t="s">
        <v>834</v>
      </c>
      <c r="C31" s="39">
        <f>J6</f>
        <v>0.30521091811414391</v>
      </c>
      <c r="D31" s="39">
        <f>J7</f>
        <v>0.34584450402144773</v>
      </c>
      <c r="E31" s="39">
        <f>J8</f>
        <v>0.46666666666666667</v>
      </c>
      <c r="F31" s="289">
        <f>J9</f>
        <v>1.1666666666666667E-2</v>
      </c>
    </row>
    <row r="32" spans="1:7" x14ac:dyDescent="0.35">
      <c r="A32" s="213"/>
      <c r="B32" s="225" t="s">
        <v>822</v>
      </c>
      <c r="C32" s="83"/>
      <c r="D32" s="83"/>
      <c r="E32" s="83"/>
      <c r="F32" s="290"/>
    </row>
    <row r="33" spans="1:6" ht="15" thickBot="1" x14ac:dyDescent="0.4">
      <c r="A33" s="215"/>
      <c r="B33" s="216"/>
      <c r="C33" s="216"/>
      <c r="D33" s="216"/>
      <c r="E33" s="216"/>
      <c r="F33" s="217"/>
    </row>
  </sheetData>
  <autoFilter ref="B5:G9">
    <sortState ref="B6:N197">
      <sortCondition ref="C5:C197"/>
    </sortState>
  </autoFilter>
  <pageMargins left="0.25" right="0.25" top="0.25" bottom="0.25" header="0.3" footer="0.3"/>
  <pageSetup scale="8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A131"/>
  <sheetViews>
    <sheetView showGridLines="0" topLeftCell="A25" workbookViewId="0">
      <selection activeCell="G28" sqref="G28"/>
    </sheetView>
  </sheetViews>
  <sheetFormatPr defaultColWidth="11.54296875" defaultRowHeight="14.5" x14ac:dyDescent="0.35"/>
  <cols>
    <col min="1" max="1" width="1.54296875" style="28" customWidth="1"/>
    <col min="2" max="2" width="23.54296875" style="28" customWidth="1"/>
    <col min="3" max="3" width="11.54296875" style="28" customWidth="1"/>
    <col min="4" max="16384" width="11.54296875" style="28"/>
  </cols>
  <sheetData>
    <row r="1" spans="2:3" s="145" customFormat="1" x14ac:dyDescent="0.35"/>
    <row r="2" spans="2:3" s="145" customFormat="1" x14ac:dyDescent="0.35"/>
    <row r="3" spans="2:3" s="145" customFormat="1" x14ac:dyDescent="0.35"/>
    <row r="4" spans="2:3" ht="7" customHeight="1" x14ac:dyDescent="0.35"/>
    <row r="5" spans="2:3" s="145" customFormat="1" ht="7" customHeight="1" x14ac:dyDescent="0.35"/>
    <row r="6" spans="2:3" s="145" customFormat="1" ht="7" customHeight="1" x14ac:dyDescent="0.35"/>
    <row r="7" spans="2:3" ht="18.5" x14ac:dyDescent="0.45">
      <c r="B7" s="19" t="s">
        <v>955</v>
      </c>
    </row>
    <row r="8" spans="2:3" ht="15.5" x14ac:dyDescent="0.35">
      <c r="B8" s="110" t="s">
        <v>838</v>
      </c>
    </row>
    <row r="9" spans="2:3" x14ac:dyDescent="0.35">
      <c r="B9" s="162" t="s">
        <v>925</v>
      </c>
    </row>
    <row r="10" spans="2:3" x14ac:dyDescent="0.35">
      <c r="B10" s="162" t="s">
        <v>926</v>
      </c>
    </row>
    <row r="11" spans="2:3" s="145" customFormat="1" x14ac:dyDescent="0.35">
      <c r="B11" s="162" t="s">
        <v>927</v>
      </c>
    </row>
    <row r="12" spans="2:3" x14ac:dyDescent="0.35">
      <c r="B12" s="162" t="s">
        <v>1000</v>
      </c>
    </row>
    <row r="13" spans="2:3" s="145" customFormat="1" x14ac:dyDescent="0.35">
      <c r="B13" s="162" t="s">
        <v>928</v>
      </c>
    </row>
    <row r="14" spans="2:3" ht="15.5" x14ac:dyDescent="0.35">
      <c r="B14" s="110" t="s">
        <v>876</v>
      </c>
    </row>
    <row r="15" spans="2:3" x14ac:dyDescent="0.35">
      <c r="B15" s="121" t="s">
        <v>877</v>
      </c>
      <c r="C15" s="120">
        <v>1</v>
      </c>
    </row>
    <row r="17" spans="2:12" x14ac:dyDescent="0.35">
      <c r="B17" s="93" t="s">
        <v>853</v>
      </c>
      <c r="C17" s="122">
        <v>55000</v>
      </c>
    </row>
    <row r="18" spans="2:12" x14ac:dyDescent="0.35">
      <c r="B18" s="93" t="s">
        <v>863</v>
      </c>
      <c r="C18" s="123">
        <v>0.2</v>
      </c>
    </row>
    <row r="19" spans="2:12" x14ac:dyDescent="0.35">
      <c r="B19" s="93" t="s">
        <v>855</v>
      </c>
      <c r="C19" s="124">
        <v>250</v>
      </c>
      <c r="G19" s="14"/>
    </row>
    <row r="20" spans="2:12" ht="15" thickBot="1" x14ac:dyDescent="0.4">
      <c r="B20" s="132" t="s">
        <v>883</v>
      </c>
      <c r="J20" s="145" t="s">
        <v>819</v>
      </c>
    </row>
    <row r="21" spans="2:12" ht="29" x14ac:dyDescent="0.35">
      <c r="C21" s="16" t="s">
        <v>835</v>
      </c>
      <c r="D21" s="16" t="s">
        <v>831</v>
      </c>
      <c r="E21" s="16" t="s">
        <v>859</v>
      </c>
      <c r="F21" s="16" t="s">
        <v>860</v>
      </c>
      <c r="G21" s="156" t="s">
        <v>861</v>
      </c>
      <c r="H21" s="160" t="s">
        <v>862</v>
      </c>
      <c r="I21" s="158" t="s">
        <v>837</v>
      </c>
      <c r="J21" s="16" t="s">
        <v>923</v>
      </c>
      <c r="K21" s="16" t="s">
        <v>924</v>
      </c>
      <c r="L21" s="160" t="s">
        <v>862</v>
      </c>
    </row>
    <row r="22" spans="2:12" x14ac:dyDescent="0.35">
      <c r="B22" s="93" t="str">
        <f>'1.5 Ad Channel Data'!B6</f>
        <v>AdWords</v>
      </c>
      <c r="C22" s="122">
        <v>2000</v>
      </c>
      <c r="D22" s="32">
        <v>1.63</v>
      </c>
      <c r="E22" s="31">
        <f>C22/D22</f>
        <v>1226.9938650306749</v>
      </c>
      <c r="F22" s="126">
        <f>'[1]1.5 Ad Channel Data'!J6</f>
        <v>2.066532258064516E-2</v>
      </c>
      <c r="G22" s="157">
        <v>0.02</v>
      </c>
      <c r="H22" s="161">
        <f>IF(Scenario=0,F22,F22+G22)</f>
        <v>4.0665322580645161E-2</v>
      </c>
      <c r="I22" s="159">
        <f>H22*E22</f>
        <v>49.896101325944983</v>
      </c>
      <c r="J22" s="126">
        <f>'1.5 Ad Channel Data'!L6</f>
        <v>0.62222222222222223</v>
      </c>
      <c r="K22" s="127">
        <v>0.02</v>
      </c>
      <c r="L22" s="161">
        <f>IF(Scenario=0,J22,J22+K22)</f>
        <v>0.64222222222222225</v>
      </c>
    </row>
    <row r="23" spans="2:12" x14ac:dyDescent="0.35">
      <c r="B23" s="93" t="str">
        <f>'1.5 Ad Channel Data'!B7</f>
        <v>Facebook Ad</v>
      </c>
      <c r="C23" s="122">
        <v>4000</v>
      </c>
      <c r="D23" s="32">
        <v>2.0499999999999998</v>
      </c>
      <c r="E23" s="31">
        <f t="shared" ref="E23:E25" si="0">C23/D23</f>
        <v>1951.2195121951222</v>
      </c>
      <c r="F23" s="126">
        <f>'[1]1.5 Ad Channel Data'!J7</f>
        <v>3.7175792507204611E-2</v>
      </c>
      <c r="G23" s="157">
        <v>0.03</v>
      </c>
      <c r="H23" s="161">
        <f>IF(Scenario=0,F23,F23+G23)</f>
        <v>6.717579250720461E-2</v>
      </c>
      <c r="I23" s="159">
        <f t="shared" ref="I23:I25" si="1">H23*E23</f>
        <v>131.07471708722852</v>
      </c>
      <c r="J23" s="126">
        <f>'1.5 Ad Channel Data'!L7</f>
        <v>0.70588235294117641</v>
      </c>
      <c r="K23" s="127">
        <v>0.02</v>
      </c>
      <c r="L23" s="161">
        <f>IF(Scenario=0,J23,J23+K23)</f>
        <v>0.72588235294117642</v>
      </c>
    </row>
    <row r="24" spans="2:12" x14ac:dyDescent="0.35">
      <c r="B24" s="93" t="str">
        <f>'1.5 Ad Channel Data'!B8</f>
        <v>LinkedIn Ad</v>
      </c>
      <c r="C24" s="122">
        <v>2000</v>
      </c>
      <c r="D24" s="32">
        <v>2.67</v>
      </c>
      <c r="E24" s="31">
        <f t="shared" si="0"/>
        <v>749.06367041198507</v>
      </c>
      <c r="F24" s="126">
        <f>'[1]1.5 Ad Channel Data'!J8</f>
        <v>3.5000000000000003E-2</v>
      </c>
      <c r="G24" s="177">
        <v>0.04</v>
      </c>
      <c r="H24" s="161">
        <f>IF(Scenario=0,F24,F24+G24)</f>
        <v>7.5000000000000011E-2</v>
      </c>
      <c r="I24" s="159">
        <f t="shared" si="1"/>
        <v>56.179775280898888</v>
      </c>
      <c r="J24" s="126">
        <f>'1.5 Ad Channel Data'!L8</f>
        <v>0.7</v>
      </c>
      <c r="K24" s="127">
        <v>0.03</v>
      </c>
      <c r="L24" s="161">
        <f>IF(Scenario=0,J24,J24+K24)</f>
        <v>0.73</v>
      </c>
    </row>
    <row r="25" spans="2:12" x14ac:dyDescent="0.35">
      <c r="B25" s="93" t="str">
        <f>'1.5 Ad Channel Data'!B9</f>
        <v>Instagram</v>
      </c>
      <c r="C25" s="122">
        <v>5000</v>
      </c>
      <c r="D25" s="32">
        <v>0.5</v>
      </c>
      <c r="E25" s="31">
        <f t="shared" si="0"/>
        <v>10000</v>
      </c>
      <c r="F25" s="126">
        <f>'[1]1.5 Ad Channel Data'!J9</f>
        <v>8.0000000000000002E-3</v>
      </c>
      <c r="G25" s="177">
        <v>0.04</v>
      </c>
      <c r="H25" s="161">
        <f>IF(Scenario=0,F25,F25+G25)</f>
        <v>4.8000000000000001E-2</v>
      </c>
      <c r="I25" s="159">
        <f t="shared" si="1"/>
        <v>480</v>
      </c>
      <c r="J25" s="126">
        <f>'1.5 Ad Channel Data'!L9</f>
        <v>0.62</v>
      </c>
      <c r="K25" s="127">
        <v>0.03</v>
      </c>
      <c r="L25" s="161">
        <f>IF(Scenario=0,J25,J25+K25)</f>
        <v>0.65</v>
      </c>
    </row>
    <row r="26" spans="2:12" x14ac:dyDescent="0.35">
      <c r="B26" s="132" t="s">
        <v>857</v>
      </c>
      <c r="C26" s="84"/>
      <c r="E26" s="86"/>
      <c r="F26" s="8"/>
      <c r="G26" s="85"/>
    </row>
    <row r="27" spans="2:12" ht="29" x14ac:dyDescent="0.35">
      <c r="B27" s="4"/>
      <c r="C27" s="128" t="s">
        <v>878</v>
      </c>
      <c r="D27" s="128" t="s">
        <v>879</v>
      </c>
      <c r="E27" s="128" t="s">
        <v>880</v>
      </c>
      <c r="F27" s="128" t="s">
        <v>881</v>
      </c>
      <c r="G27" s="128" t="s">
        <v>882</v>
      </c>
      <c r="H27" s="128" t="s">
        <v>836</v>
      </c>
      <c r="I27" s="128" t="s">
        <v>826</v>
      </c>
    </row>
    <row r="28" spans="2:12" x14ac:dyDescent="0.35">
      <c r="B28" s="93" t="s">
        <v>847</v>
      </c>
      <c r="C28" s="129">
        <v>2538</v>
      </c>
      <c r="D28" s="130">
        <v>0.01</v>
      </c>
      <c r="E28" s="130">
        <v>0.08</v>
      </c>
      <c r="F28" s="65">
        <f>IF(Scenario=0,D28,D28+E28)</f>
        <v>0.09</v>
      </c>
      <c r="G28" s="130">
        <v>0.08</v>
      </c>
      <c r="H28" s="122">
        <v>338</v>
      </c>
      <c r="I28" s="130">
        <v>0.73</v>
      </c>
    </row>
    <row r="29" spans="2:12" x14ac:dyDescent="0.35">
      <c r="B29" s="93" t="s">
        <v>849</v>
      </c>
      <c r="C29" s="129">
        <v>528</v>
      </c>
      <c r="D29" s="130">
        <v>0.01</v>
      </c>
      <c r="E29" s="130">
        <v>0.08</v>
      </c>
      <c r="F29" s="65">
        <f>IF(Scenario=0,D29,D29+E29)</f>
        <v>0.09</v>
      </c>
      <c r="G29" s="130">
        <v>0.08</v>
      </c>
      <c r="H29" s="122">
        <v>335</v>
      </c>
      <c r="I29" s="130">
        <v>0.73</v>
      </c>
    </row>
    <row r="30" spans="2:12" x14ac:dyDescent="0.35">
      <c r="B30" s="93" t="s">
        <v>850</v>
      </c>
      <c r="C30" s="131">
        <v>190</v>
      </c>
      <c r="D30" s="130">
        <v>0.01</v>
      </c>
      <c r="E30" s="130">
        <v>0.08</v>
      </c>
      <c r="F30" s="65">
        <f>IF(Scenario=0,D30,D30+E30)</f>
        <v>0.09</v>
      </c>
      <c r="G30" s="130">
        <v>0.05</v>
      </c>
      <c r="H30" s="122">
        <v>330</v>
      </c>
      <c r="I30" s="130">
        <v>0.73</v>
      </c>
    </row>
    <row r="31" spans="2:12" ht="29" x14ac:dyDescent="0.35">
      <c r="B31" s="5"/>
      <c r="C31" s="128" t="s">
        <v>836</v>
      </c>
      <c r="D31" s="128" t="s">
        <v>826</v>
      </c>
    </row>
    <row r="32" spans="2:12" x14ac:dyDescent="0.35">
      <c r="B32" s="93" t="str">
        <f>B22</f>
        <v>AdWords</v>
      </c>
      <c r="C32" s="12">
        <f>'1.5 Ad Channel Data'!K6</f>
        <v>328.5691056910569</v>
      </c>
      <c r="D32" s="133">
        <f>L22</f>
        <v>0.64222222222222225</v>
      </c>
    </row>
    <row r="33" spans="2:27" x14ac:dyDescent="0.35">
      <c r="B33" s="93" t="str">
        <f>B23</f>
        <v>Facebook Ad</v>
      </c>
      <c r="C33" s="12">
        <f>'1.5 Ad Channel Data'!K7</f>
        <v>337.72868217054264</v>
      </c>
      <c r="D33" s="133">
        <f>L23</f>
        <v>0.72588235294117642</v>
      </c>
    </row>
    <row r="34" spans="2:27" x14ac:dyDescent="0.35">
      <c r="B34" s="93" t="str">
        <f>B24</f>
        <v>LinkedIn Ad</v>
      </c>
      <c r="C34" s="12">
        <f>'1.5 Ad Channel Data'!K8</f>
        <v>300</v>
      </c>
      <c r="D34" s="133">
        <f>L24</f>
        <v>0.73</v>
      </c>
    </row>
    <row r="35" spans="2:27" x14ac:dyDescent="0.35">
      <c r="B35" s="93" t="str">
        <f>B25</f>
        <v>Instagram</v>
      </c>
      <c r="C35" s="12">
        <f>'1.5 Ad Channel Data'!K9</f>
        <v>359</v>
      </c>
      <c r="D35" s="133">
        <f>L25</f>
        <v>0.65</v>
      </c>
    </row>
    <row r="36" spans="2:27" x14ac:dyDescent="0.35">
      <c r="B36" s="93" t="str">
        <f>B28</f>
        <v>Facebook Organic</v>
      </c>
      <c r="C36" s="12">
        <f t="shared" ref="C36:D38" si="2">H28</f>
        <v>338</v>
      </c>
      <c r="D36" s="133">
        <f t="shared" si="2"/>
        <v>0.73</v>
      </c>
    </row>
    <row r="37" spans="2:27" x14ac:dyDescent="0.35">
      <c r="B37" s="93" t="str">
        <f>B29</f>
        <v>LinkedIn Organic</v>
      </c>
      <c r="C37" s="12">
        <f t="shared" si="2"/>
        <v>335</v>
      </c>
      <c r="D37" s="133">
        <f t="shared" si="2"/>
        <v>0.73</v>
      </c>
    </row>
    <row r="38" spans="2:27" x14ac:dyDescent="0.35">
      <c r="B38" s="93" t="str">
        <f>B30</f>
        <v>Twitter Organic</v>
      </c>
      <c r="C38" s="12">
        <f t="shared" si="2"/>
        <v>330</v>
      </c>
      <c r="D38" s="133">
        <f t="shared" si="2"/>
        <v>0.73</v>
      </c>
    </row>
    <row r="39" spans="2:27" ht="15.5" x14ac:dyDescent="0.35">
      <c r="B39" s="110" t="s">
        <v>889</v>
      </c>
    </row>
    <row r="40" spans="2:27" ht="7" customHeight="1" x14ac:dyDescent="0.35">
      <c r="B40" s="113"/>
    </row>
    <row r="41" spans="2:27" x14ac:dyDescent="0.35">
      <c r="B41" s="5"/>
      <c r="C41" s="111">
        <v>42766</v>
      </c>
      <c r="D41" s="112">
        <f>EOMONTH(C41,1)</f>
        <v>42794</v>
      </c>
      <c r="E41" s="112">
        <f t="shared" ref="E41:AA41" si="3">EOMONTH(D41,1)</f>
        <v>42825</v>
      </c>
      <c r="F41" s="112">
        <f t="shared" si="3"/>
        <v>42855</v>
      </c>
      <c r="G41" s="112">
        <f t="shared" si="3"/>
        <v>42886</v>
      </c>
      <c r="H41" s="112">
        <f t="shared" si="3"/>
        <v>42916</v>
      </c>
      <c r="I41" s="112">
        <f t="shared" si="3"/>
        <v>42947</v>
      </c>
      <c r="J41" s="112">
        <f>EOMONTH(I41,1)</f>
        <v>42978</v>
      </c>
      <c r="K41" s="112">
        <f t="shared" si="3"/>
        <v>43008</v>
      </c>
      <c r="L41" s="112">
        <f t="shared" si="3"/>
        <v>43039</v>
      </c>
      <c r="M41" s="112">
        <f>EOMONTH(L41,1)</f>
        <v>43069</v>
      </c>
      <c r="N41" s="112">
        <f t="shared" si="3"/>
        <v>43100</v>
      </c>
      <c r="O41" s="112">
        <f t="shared" si="3"/>
        <v>43131</v>
      </c>
      <c r="P41" s="112">
        <f t="shared" si="3"/>
        <v>43159</v>
      </c>
      <c r="Q41" s="112">
        <f t="shared" si="3"/>
        <v>43190</v>
      </c>
      <c r="R41" s="112">
        <f t="shared" si="3"/>
        <v>43220</v>
      </c>
      <c r="S41" s="112">
        <f t="shared" si="3"/>
        <v>43251</v>
      </c>
      <c r="T41" s="112">
        <f t="shared" si="3"/>
        <v>43281</v>
      </c>
      <c r="U41" s="112">
        <f t="shared" si="3"/>
        <v>43312</v>
      </c>
      <c r="V41" s="112">
        <f t="shared" si="3"/>
        <v>43343</v>
      </c>
      <c r="W41" s="112">
        <f t="shared" si="3"/>
        <v>43373</v>
      </c>
      <c r="X41" s="112">
        <f t="shared" si="3"/>
        <v>43404</v>
      </c>
      <c r="Y41" s="112">
        <f t="shared" si="3"/>
        <v>43434</v>
      </c>
      <c r="Z41" s="112">
        <f t="shared" si="3"/>
        <v>43465</v>
      </c>
      <c r="AA41" s="112">
        <f t="shared" si="3"/>
        <v>43496</v>
      </c>
    </row>
    <row r="42" spans="2:27" x14ac:dyDescent="0.35">
      <c r="B42" s="103" t="str">
        <f>B28</f>
        <v>Facebook Organic</v>
      </c>
      <c r="C42" s="29">
        <f>C28</f>
        <v>2538</v>
      </c>
      <c r="D42" s="29">
        <f>C42*(1+$F28)</f>
        <v>2766.42</v>
      </c>
      <c r="E42" s="29">
        <f>D42*(1+$F28)</f>
        <v>3015.3978000000002</v>
      </c>
      <c r="F42" s="29">
        <f>E42*(1+$F28)</f>
        <v>3286.7836020000004</v>
      </c>
      <c r="G42" s="29">
        <f t="shared" ref="F42:AA44" si="4">F42*(1+$F28)</f>
        <v>3582.5941261800008</v>
      </c>
      <c r="H42" s="29">
        <f t="shared" si="4"/>
        <v>3905.027597536201</v>
      </c>
      <c r="I42" s="29">
        <f t="shared" si="4"/>
        <v>4256.4800813144593</v>
      </c>
      <c r="J42" s="29">
        <f t="shared" si="4"/>
        <v>4639.5632886327612</v>
      </c>
      <c r="K42" s="29">
        <f t="shared" si="4"/>
        <v>5057.1239846097105</v>
      </c>
      <c r="L42" s="29">
        <f t="shared" si="4"/>
        <v>5512.2651432245848</v>
      </c>
      <c r="M42" s="29">
        <f t="shared" si="4"/>
        <v>6008.3690061147981</v>
      </c>
      <c r="N42" s="29">
        <f t="shared" si="4"/>
        <v>6549.1222166651305</v>
      </c>
      <c r="O42" s="29">
        <f t="shared" si="4"/>
        <v>7138.5432161649924</v>
      </c>
      <c r="P42" s="29">
        <f t="shared" si="4"/>
        <v>7781.0121056198423</v>
      </c>
      <c r="Q42" s="29">
        <f t="shared" si="4"/>
        <v>8481.3031951256289</v>
      </c>
      <c r="R42" s="29">
        <f t="shared" si="4"/>
        <v>9244.6204826869362</v>
      </c>
      <c r="S42" s="29">
        <f t="shared" si="4"/>
        <v>10076.636326128761</v>
      </c>
      <c r="T42" s="29">
        <f t="shared" si="4"/>
        <v>10983.53359548035</v>
      </c>
      <c r="U42" s="29">
        <f t="shared" si="4"/>
        <v>11972.051619073583</v>
      </c>
      <c r="V42" s="29">
        <f t="shared" si="4"/>
        <v>13049.536264790207</v>
      </c>
      <c r="W42" s="29">
        <f>V42*(1+$F28)</f>
        <v>14223.994528621328</v>
      </c>
      <c r="X42" s="29">
        <f t="shared" si="4"/>
        <v>15504.154036197249</v>
      </c>
      <c r="Y42" s="29">
        <f t="shared" si="4"/>
        <v>16899.527899455003</v>
      </c>
      <c r="Z42" s="29">
        <f t="shared" si="4"/>
        <v>18420.485410405956</v>
      </c>
      <c r="AA42" s="29">
        <f>Z42*(1+$F28)</f>
        <v>20078.329097342492</v>
      </c>
    </row>
    <row r="43" spans="2:27" x14ac:dyDescent="0.35">
      <c r="B43" s="103" t="str">
        <f>B29</f>
        <v>LinkedIn Organic</v>
      </c>
      <c r="C43" s="29">
        <f>C29</f>
        <v>528</v>
      </c>
      <c r="D43" s="29">
        <f t="shared" ref="D43:S44" si="5">C43*(1+$F29)</f>
        <v>575.5200000000001</v>
      </c>
      <c r="E43" s="29">
        <f t="shared" si="5"/>
        <v>627.31680000000017</v>
      </c>
      <c r="F43" s="29">
        <f>E43*(1+$F29)</f>
        <v>683.77531200000021</v>
      </c>
      <c r="G43" s="29">
        <f t="shared" si="5"/>
        <v>745.31509008000023</v>
      </c>
      <c r="H43" s="29">
        <f t="shared" si="5"/>
        <v>812.39344818720031</v>
      </c>
      <c r="I43" s="29">
        <f t="shared" si="5"/>
        <v>885.50885852404838</v>
      </c>
      <c r="J43" s="29">
        <f t="shared" si="5"/>
        <v>965.20465579121276</v>
      </c>
      <c r="K43" s="29">
        <f t="shared" si="5"/>
        <v>1052.073074812422</v>
      </c>
      <c r="L43" s="29">
        <f t="shared" si="5"/>
        <v>1146.75965154554</v>
      </c>
      <c r="M43" s="29">
        <f t="shared" si="5"/>
        <v>1249.9680201846386</v>
      </c>
      <c r="N43" s="29">
        <f t="shared" si="5"/>
        <v>1362.4651420012563</v>
      </c>
      <c r="O43" s="29">
        <f t="shared" si="5"/>
        <v>1485.0870047813694</v>
      </c>
      <c r="P43" s="29">
        <f t="shared" si="5"/>
        <v>1618.7448352116928</v>
      </c>
      <c r="Q43" s="29">
        <f t="shared" si="5"/>
        <v>1764.4318703807453</v>
      </c>
      <c r="R43" s="29">
        <f t="shared" si="5"/>
        <v>1923.2307387150124</v>
      </c>
      <c r="S43" s="29">
        <f t="shared" si="5"/>
        <v>2096.3215051993639</v>
      </c>
      <c r="T43" s="29">
        <f t="shared" si="4"/>
        <v>2284.9904406673068</v>
      </c>
      <c r="U43" s="29">
        <f t="shared" si="4"/>
        <v>2490.6395803273645</v>
      </c>
      <c r="V43" s="29">
        <f t="shared" si="4"/>
        <v>2714.7971425568276</v>
      </c>
      <c r="W43" s="29">
        <f t="shared" si="4"/>
        <v>2959.1288853869423</v>
      </c>
      <c r="X43" s="29">
        <f t="shared" si="4"/>
        <v>3225.4504850717672</v>
      </c>
      <c r="Y43" s="29">
        <f t="shared" si="4"/>
        <v>3515.7410287282264</v>
      </c>
      <c r="Z43" s="29">
        <f t="shared" si="4"/>
        <v>3832.1577213137671</v>
      </c>
      <c r="AA43" s="29">
        <f t="shared" si="4"/>
        <v>4177.0519162320061</v>
      </c>
    </row>
    <row r="44" spans="2:27" x14ac:dyDescent="0.35">
      <c r="B44" s="103" t="str">
        <f>B30</f>
        <v>Twitter Organic</v>
      </c>
      <c r="C44" s="29">
        <f>C30</f>
        <v>190</v>
      </c>
      <c r="D44" s="29">
        <f t="shared" si="5"/>
        <v>207.10000000000002</v>
      </c>
      <c r="E44" s="29">
        <f t="shared" si="5"/>
        <v>225.73900000000003</v>
      </c>
      <c r="F44" s="29">
        <f t="shared" si="5"/>
        <v>246.05551000000006</v>
      </c>
      <c r="G44" s="29">
        <f t="shared" si="5"/>
        <v>268.20050590000005</v>
      </c>
      <c r="H44" s="29">
        <f t="shared" si="5"/>
        <v>292.3385514310001</v>
      </c>
      <c r="I44" s="29">
        <f t="shared" si="5"/>
        <v>318.64902105979013</v>
      </c>
      <c r="J44" s="29">
        <f t="shared" si="5"/>
        <v>347.32743295517128</v>
      </c>
      <c r="K44" s="29">
        <f t="shared" si="5"/>
        <v>378.5869019211367</v>
      </c>
      <c r="L44" s="29">
        <f t="shared" si="5"/>
        <v>412.65972309403901</v>
      </c>
      <c r="M44" s="29">
        <f t="shared" si="5"/>
        <v>449.79909817250257</v>
      </c>
      <c r="N44" s="29">
        <f t="shared" si="5"/>
        <v>490.28101700802785</v>
      </c>
      <c r="O44" s="29">
        <f t="shared" si="5"/>
        <v>534.40630853875041</v>
      </c>
      <c r="P44" s="29">
        <f t="shared" si="5"/>
        <v>582.50287630723801</v>
      </c>
      <c r="Q44" s="29">
        <f t="shared" si="5"/>
        <v>634.92813517488946</v>
      </c>
      <c r="R44" s="29">
        <f t="shared" si="5"/>
        <v>692.07166734062957</v>
      </c>
      <c r="S44" s="29">
        <f t="shared" si="5"/>
        <v>754.35811740128634</v>
      </c>
      <c r="T44" s="29">
        <f t="shared" si="4"/>
        <v>822.25034796740215</v>
      </c>
      <c r="U44" s="29">
        <f t="shared" si="4"/>
        <v>896.25287928446846</v>
      </c>
      <c r="V44" s="29">
        <f t="shared" si="4"/>
        <v>976.91563842007065</v>
      </c>
      <c r="W44" s="29">
        <f t="shared" si="4"/>
        <v>1064.838045877877</v>
      </c>
      <c r="X44" s="29">
        <f t="shared" si="4"/>
        <v>1160.673470006886</v>
      </c>
      <c r="Y44" s="29">
        <f t="shared" si="4"/>
        <v>1265.1340823075059</v>
      </c>
      <c r="Z44" s="29">
        <f t="shared" si="4"/>
        <v>1378.9961497151814</v>
      </c>
      <c r="AA44" s="29">
        <f t="shared" si="4"/>
        <v>1503.1058031895479</v>
      </c>
    </row>
    <row r="45" spans="2:27" ht="15.5" x14ac:dyDescent="0.35">
      <c r="B45" s="110" t="s">
        <v>873</v>
      </c>
    </row>
    <row r="46" spans="2:27" ht="7" customHeight="1" x14ac:dyDescent="0.35">
      <c r="B46" s="113"/>
    </row>
    <row r="47" spans="2:27" x14ac:dyDescent="0.35">
      <c r="B47" s="5"/>
      <c r="C47" s="111">
        <f t="shared" ref="C47:AA47" si="6">C41</f>
        <v>42766</v>
      </c>
      <c r="D47" s="112">
        <f t="shared" si="6"/>
        <v>42794</v>
      </c>
      <c r="E47" s="112">
        <f t="shared" si="6"/>
        <v>42825</v>
      </c>
      <c r="F47" s="112">
        <f t="shared" si="6"/>
        <v>42855</v>
      </c>
      <c r="G47" s="112">
        <f t="shared" si="6"/>
        <v>42886</v>
      </c>
      <c r="H47" s="112">
        <f t="shared" si="6"/>
        <v>42916</v>
      </c>
      <c r="I47" s="112">
        <f t="shared" si="6"/>
        <v>42947</v>
      </c>
      <c r="J47" s="112">
        <f t="shared" si="6"/>
        <v>42978</v>
      </c>
      <c r="K47" s="112">
        <f t="shared" si="6"/>
        <v>43008</v>
      </c>
      <c r="L47" s="112">
        <f t="shared" si="6"/>
        <v>43039</v>
      </c>
      <c r="M47" s="112">
        <f t="shared" si="6"/>
        <v>43069</v>
      </c>
      <c r="N47" s="112">
        <f t="shared" si="6"/>
        <v>43100</v>
      </c>
      <c r="O47" s="112">
        <f t="shared" si="6"/>
        <v>43131</v>
      </c>
      <c r="P47" s="112">
        <f t="shared" si="6"/>
        <v>43159</v>
      </c>
      <c r="Q47" s="112">
        <f t="shared" si="6"/>
        <v>43190</v>
      </c>
      <c r="R47" s="112">
        <f t="shared" si="6"/>
        <v>43220</v>
      </c>
      <c r="S47" s="112">
        <f t="shared" si="6"/>
        <v>43251</v>
      </c>
      <c r="T47" s="112">
        <f t="shared" si="6"/>
        <v>43281</v>
      </c>
      <c r="U47" s="112">
        <f t="shared" si="6"/>
        <v>43312</v>
      </c>
      <c r="V47" s="112">
        <f t="shared" si="6"/>
        <v>43343</v>
      </c>
      <c r="W47" s="112">
        <f t="shared" si="6"/>
        <v>43373</v>
      </c>
      <c r="X47" s="112">
        <f t="shared" si="6"/>
        <v>43404</v>
      </c>
      <c r="Y47" s="112">
        <f t="shared" si="6"/>
        <v>43434</v>
      </c>
      <c r="Z47" s="112">
        <f t="shared" si="6"/>
        <v>43465</v>
      </c>
      <c r="AA47" s="112">
        <f t="shared" si="6"/>
        <v>43496</v>
      </c>
    </row>
    <row r="48" spans="2:27" x14ac:dyDescent="0.35">
      <c r="B48" s="106" t="s">
        <v>20</v>
      </c>
    </row>
    <row r="49" spans="2:27" x14ac:dyDescent="0.35">
      <c r="B49" s="94" t="s">
        <v>856</v>
      </c>
      <c r="C49" s="95">
        <v>0</v>
      </c>
      <c r="D49" s="86">
        <f>$I$22</f>
        <v>49.896101325944983</v>
      </c>
      <c r="E49" s="86">
        <f t="shared" ref="E49:AA49" si="7">$I$22</f>
        <v>49.896101325944983</v>
      </c>
      <c r="F49" s="86">
        <f t="shared" si="7"/>
        <v>49.896101325944983</v>
      </c>
      <c r="G49" s="86">
        <f t="shared" si="7"/>
        <v>49.896101325944983</v>
      </c>
      <c r="H49" s="86">
        <f t="shared" si="7"/>
        <v>49.896101325944983</v>
      </c>
      <c r="I49" s="86">
        <f t="shared" si="7"/>
        <v>49.896101325944983</v>
      </c>
      <c r="J49" s="86">
        <f t="shared" si="7"/>
        <v>49.896101325944983</v>
      </c>
      <c r="K49" s="86">
        <f t="shared" si="7"/>
        <v>49.896101325944983</v>
      </c>
      <c r="L49" s="86">
        <f t="shared" si="7"/>
        <v>49.896101325944983</v>
      </c>
      <c r="M49" s="86">
        <f t="shared" si="7"/>
        <v>49.896101325944983</v>
      </c>
      <c r="N49" s="86">
        <f t="shared" si="7"/>
        <v>49.896101325944983</v>
      </c>
      <c r="O49" s="86">
        <f t="shared" si="7"/>
        <v>49.896101325944983</v>
      </c>
      <c r="P49" s="86">
        <f t="shared" si="7"/>
        <v>49.896101325944983</v>
      </c>
      <c r="Q49" s="86">
        <f t="shared" si="7"/>
        <v>49.896101325944983</v>
      </c>
      <c r="R49" s="86">
        <f t="shared" si="7"/>
        <v>49.896101325944983</v>
      </c>
      <c r="S49" s="86">
        <f t="shared" si="7"/>
        <v>49.896101325944983</v>
      </c>
      <c r="T49" s="86">
        <f t="shared" si="7"/>
        <v>49.896101325944983</v>
      </c>
      <c r="U49" s="86">
        <f t="shared" si="7"/>
        <v>49.896101325944983</v>
      </c>
      <c r="V49" s="86">
        <f t="shared" si="7"/>
        <v>49.896101325944983</v>
      </c>
      <c r="W49" s="86">
        <f t="shared" si="7"/>
        <v>49.896101325944983</v>
      </c>
      <c r="X49" s="86">
        <f t="shared" si="7"/>
        <v>49.896101325944983</v>
      </c>
      <c r="Y49" s="86">
        <f t="shared" si="7"/>
        <v>49.896101325944983</v>
      </c>
      <c r="Z49" s="86">
        <f t="shared" si="7"/>
        <v>49.896101325944983</v>
      </c>
      <c r="AA49" s="86">
        <f t="shared" si="7"/>
        <v>49.896101325944983</v>
      </c>
    </row>
    <row r="50" spans="2:27" x14ac:dyDescent="0.35">
      <c r="B50" s="94" t="s">
        <v>867</v>
      </c>
      <c r="C50" s="97">
        <v>0</v>
      </c>
      <c r="D50" s="97">
        <v>0</v>
      </c>
      <c r="E50" s="97">
        <v>0</v>
      </c>
      <c r="F50" s="97">
        <v>0</v>
      </c>
      <c r="G50" s="97">
        <v>0</v>
      </c>
      <c r="H50" s="97">
        <v>0</v>
      </c>
      <c r="I50" s="97">
        <v>0</v>
      </c>
      <c r="J50" s="97">
        <v>0</v>
      </c>
      <c r="K50" s="97">
        <v>0</v>
      </c>
      <c r="L50" s="97">
        <v>0</v>
      </c>
      <c r="M50" s="97">
        <v>0</v>
      </c>
      <c r="N50" s="97">
        <v>0</v>
      </c>
      <c r="O50" s="97">
        <v>0</v>
      </c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</row>
    <row r="51" spans="2:27" x14ac:dyDescent="0.35">
      <c r="B51" s="109" t="s">
        <v>869</v>
      </c>
      <c r="C51" s="107">
        <v>0</v>
      </c>
      <c r="D51" s="108">
        <f>D49+D50+C51</f>
        <v>49.896101325944983</v>
      </c>
      <c r="E51" s="108">
        <f t="shared" ref="E51:M51" si="8">E49+E50+D51</f>
        <v>99.792202651889966</v>
      </c>
      <c r="F51" s="108">
        <f t="shared" si="8"/>
        <v>149.68830397783495</v>
      </c>
      <c r="G51" s="108">
        <f t="shared" si="8"/>
        <v>199.58440530377993</v>
      </c>
      <c r="H51" s="108">
        <f t="shared" si="8"/>
        <v>249.48050662972491</v>
      </c>
      <c r="I51" s="108">
        <f t="shared" si="8"/>
        <v>299.3766079556699</v>
      </c>
      <c r="J51" s="108">
        <f t="shared" si="8"/>
        <v>349.27270928161488</v>
      </c>
      <c r="K51" s="108">
        <f t="shared" si="8"/>
        <v>399.16881060755986</v>
      </c>
      <c r="L51" s="108">
        <f t="shared" si="8"/>
        <v>449.06491193350485</v>
      </c>
      <c r="M51" s="108">
        <f t="shared" si="8"/>
        <v>498.96101325944983</v>
      </c>
      <c r="N51" s="108">
        <f t="shared" ref="N51" si="9">N49+N50+M51</f>
        <v>548.85711458539481</v>
      </c>
      <c r="O51" s="108">
        <f t="shared" ref="O51" si="10">O49+O50+N51</f>
        <v>598.75321591133979</v>
      </c>
      <c r="P51" s="108">
        <f t="shared" ref="P51" si="11">P49+P50+O51</f>
        <v>648.64931723728478</v>
      </c>
      <c r="Q51" s="108">
        <f t="shared" ref="Q51" si="12">Q49+Q50+P51</f>
        <v>698.54541856322976</v>
      </c>
      <c r="R51" s="108">
        <f t="shared" ref="R51" si="13">R49+R50+Q51</f>
        <v>748.44151988917474</v>
      </c>
      <c r="S51" s="108">
        <f t="shared" ref="S51" si="14">S49+S50+R51</f>
        <v>798.33762121511973</v>
      </c>
      <c r="T51" s="108">
        <f t="shared" ref="T51" si="15">T49+T50+S51</f>
        <v>848.23372254106471</v>
      </c>
      <c r="U51" s="108">
        <f t="shared" ref="U51:V51" si="16">U49+U50+T51</f>
        <v>898.12982386700969</v>
      </c>
      <c r="V51" s="108">
        <f t="shared" si="16"/>
        <v>948.02592519295467</v>
      </c>
      <c r="W51" s="108">
        <f t="shared" ref="W51" si="17">W49+W50+V51</f>
        <v>997.92202651889966</v>
      </c>
      <c r="X51" s="108">
        <f t="shared" ref="X51" si="18">X49+X50+W51</f>
        <v>1047.8181278448446</v>
      </c>
      <c r="Y51" s="108">
        <f t="shared" ref="Y51" si="19">Y49+Y50+X51</f>
        <v>1097.7142291707896</v>
      </c>
      <c r="Z51" s="108">
        <f t="shared" ref="Z51" si="20">Z49+Z50+Y51</f>
        <v>1147.6103304967346</v>
      </c>
      <c r="AA51" s="108">
        <f t="shared" ref="AA51" si="21">AA49+AA50+Z51</f>
        <v>1197.5064318226796</v>
      </c>
    </row>
    <row r="52" spans="2:27" x14ac:dyDescent="0.35">
      <c r="B52" s="116" t="s">
        <v>868</v>
      </c>
      <c r="C52" s="8">
        <f>C51*($C$32/12)</f>
        <v>0</v>
      </c>
      <c r="D52" s="8">
        <f t="shared" ref="D52:N52" si="22">D51*($C$32/12)</f>
        <v>1366.1931158446753</v>
      </c>
      <c r="E52" s="8">
        <f t="shared" si="22"/>
        <v>2732.3862316893506</v>
      </c>
      <c r="F52" s="8">
        <f t="shared" si="22"/>
        <v>4098.5793475340251</v>
      </c>
      <c r="G52" s="8">
        <f t="shared" si="22"/>
        <v>5464.7724633787011</v>
      </c>
      <c r="H52" s="8">
        <f t="shared" si="22"/>
        <v>6830.9655792233762</v>
      </c>
      <c r="I52" s="8">
        <f t="shared" si="22"/>
        <v>8197.1586950680503</v>
      </c>
      <c r="J52" s="8">
        <f t="shared" si="22"/>
        <v>9563.3518109127272</v>
      </c>
      <c r="K52" s="8">
        <f t="shared" si="22"/>
        <v>10929.544926757402</v>
      </c>
      <c r="L52" s="8">
        <f t="shared" si="22"/>
        <v>12295.738042602077</v>
      </c>
      <c r="M52" s="8">
        <f t="shared" si="22"/>
        <v>13661.931158446752</v>
      </c>
      <c r="N52" s="8">
        <f t="shared" si="22"/>
        <v>15028.124274291427</v>
      </c>
      <c r="O52" s="8">
        <f t="shared" ref="O52" si="23">O51*($C$32/12)</f>
        <v>16394.317390136101</v>
      </c>
      <c r="P52" s="8">
        <f t="shared" ref="P52" si="24">P51*($C$32/12)</f>
        <v>17760.510505980779</v>
      </c>
      <c r="Q52" s="8">
        <f t="shared" ref="Q52" si="25">Q51*($C$32/12)</f>
        <v>19126.703621825454</v>
      </c>
      <c r="R52" s="8">
        <f t="shared" ref="R52" si="26">R51*($C$32/12)</f>
        <v>20492.896737670129</v>
      </c>
      <c r="S52" s="8">
        <f t="shared" ref="S52" si="27">S51*($C$32/12)</f>
        <v>21859.089853514804</v>
      </c>
      <c r="T52" s="8">
        <f t="shared" ref="T52" si="28">T51*($C$32/12)</f>
        <v>23225.282969359479</v>
      </c>
      <c r="U52" s="8">
        <f t="shared" ref="U52" si="29">U51*($C$32/12)</f>
        <v>24591.476085204155</v>
      </c>
      <c r="V52" s="8">
        <f t="shared" ref="V52" si="30">V51*($C$32/12)</f>
        <v>25957.66920104883</v>
      </c>
      <c r="W52" s="8">
        <f t="shared" ref="W52" si="31">W51*($C$32/12)</f>
        <v>27323.862316893505</v>
      </c>
      <c r="X52" s="8">
        <f t="shared" ref="X52:Y52" si="32">X51*($C$32/12)</f>
        <v>28690.05543273818</v>
      </c>
      <c r="Y52" s="8">
        <f t="shared" si="32"/>
        <v>30056.248548582855</v>
      </c>
      <c r="Z52" s="8">
        <f t="shared" ref="Z52" si="33">Z51*($C$32/12)</f>
        <v>31422.44166442753</v>
      </c>
      <c r="AA52" s="8">
        <f t="shared" ref="AA52" si="34">AA51*($C$32/12)</f>
        <v>32788.634780272201</v>
      </c>
    </row>
    <row r="53" spans="2:27" x14ac:dyDescent="0.35">
      <c r="B53" s="106" t="str">
        <f>B33</f>
        <v>Facebook Ad</v>
      </c>
    </row>
    <row r="54" spans="2:27" x14ac:dyDescent="0.35">
      <c r="B54" s="94" t="s">
        <v>856</v>
      </c>
      <c r="C54" s="95">
        <v>0</v>
      </c>
      <c r="D54" s="86">
        <f>$I$23</f>
        <v>131.07471708722852</v>
      </c>
      <c r="E54" s="86">
        <f t="shared" ref="E54:AA54" si="35">$I$23</f>
        <v>131.07471708722852</v>
      </c>
      <c r="F54" s="86">
        <f t="shared" si="35"/>
        <v>131.07471708722852</v>
      </c>
      <c r="G54" s="86">
        <f t="shared" si="35"/>
        <v>131.07471708722852</v>
      </c>
      <c r="H54" s="86">
        <f t="shared" si="35"/>
        <v>131.07471708722852</v>
      </c>
      <c r="I54" s="86">
        <f t="shared" si="35"/>
        <v>131.07471708722852</v>
      </c>
      <c r="J54" s="86">
        <f t="shared" si="35"/>
        <v>131.07471708722852</v>
      </c>
      <c r="K54" s="86">
        <f t="shared" si="35"/>
        <v>131.07471708722852</v>
      </c>
      <c r="L54" s="86">
        <f t="shared" si="35"/>
        <v>131.07471708722852</v>
      </c>
      <c r="M54" s="86">
        <f t="shared" si="35"/>
        <v>131.07471708722852</v>
      </c>
      <c r="N54" s="86">
        <f t="shared" si="35"/>
        <v>131.07471708722852</v>
      </c>
      <c r="O54" s="86">
        <f t="shared" si="35"/>
        <v>131.07471708722852</v>
      </c>
      <c r="P54" s="86">
        <f t="shared" si="35"/>
        <v>131.07471708722852</v>
      </c>
      <c r="Q54" s="86">
        <f t="shared" si="35"/>
        <v>131.07471708722852</v>
      </c>
      <c r="R54" s="86">
        <f t="shared" si="35"/>
        <v>131.07471708722852</v>
      </c>
      <c r="S54" s="86">
        <f t="shared" si="35"/>
        <v>131.07471708722852</v>
      </c>
      <c r="T54" s="86">
        <f t="shared" si="35"/>
        <v>131.07471708722852</v>
      </c>
      <c r="U54" s="86">
        <f t="shared" si="35"/>
        <v>131.07471708722852</v>
      </c>
      <c r="V54" s="86">
        <f t="shared" si="35"/>
        <v>131.07471708722852</v>
      </c>
      <c r="W54" s="86">
        <f t="shared" si="35"/>
        <v>131.07471708722852</v>
      </c>
      <c r="X54" s="86">
        <f t="shared" si="35"/>
        <v>131.07471708722852</v>
      </c>
      <c r="Y54" s="86">
        <f t="shared" si="35"/>
        <v>131.07471708722852</v>
      </c>
      <c r="Z54" s="86">
        <f t="shared" si="35"/>
        <v>131.07471708722852</v>
      </c>
      <c r="AA54" s="86">
        <f t="shared" si="35"/>
        <v>131.07471708722852</v>
      </c>
    </row>
    <row r="55" spans="2:27" x14ac:dyDescent="0.35">
      <c r="B55" s="94" t="s">
        <v>867</v>
      </c>
      <c r="C55" s="97">
        <v>0</v>
      </c>
      <c r="D55" s="97">
        <v>0</v>
      </c>
      <c r="E55" s="97">
        <v>0</v>
      </c>
      <c r="F55" s="97">
        <v>0</v>
      </c>
      <c r="G55" s="97">
        <v>0</v>
      </c>
      <c r="H55" s="97">
        <v>0</v>
      </c>
      <c r="I55" s="97">
        <v>0</v>
      </c>
      <c r="J55" s="97">
        <v>0</v>
      </c>
      <c r="K55" s="97">
        <v>0</v>
      </c>
      <c r="L55" s="97">
        <v>0</v>
      </c>
      <c r="M55" s="97">
        <v>0</v>
      </c>
      <c r="N55" s="97">
        <v>0</v>
      </c>
      <c r="O55" s="97">
        <v>0</v>
      </c>
      <c r="P55" s="54">
        <f>D54*(1-$D$33)</f>
        <v>35.929893036852057</v>
      </c>
      <c r="Q55" s="54">
        <f t="shared" ref="Q55:AA55" si="36">E54*(1-$D$33)</f>
        <v>35.929893036852057</v>
      </c>
      <c r="R55" s="54">
        <f t="shared" si="36"/>
        <v>35.929893036852057</v>
      </c>
      <c r="S55" s="54">
        <f t="shared" si="36"/>
        <v>35.929893036852057</v>
      </c>
      <c r="T55" s="54">
        <f t="shared" si="36"/>
        <v>35.929893036852057</v>
      </c>
      <c r="U55" s="54">
        <f t="shared" si="36"/>
        <v>35.929893036852057</v>
      </c>
      <c r="V55" s="54">
        <f t="shared" si="36"/>
        <v>35.929893036852057</v>
      </c>
      <c r="W55" s="54">
        <f t="shared" si="36"/>
        <v>35.929893036852057</v>
      </c>
      <c r="X55" s="54">
        <f t="shared" si="36"/>
        <v>35.929893036852057</v>
      </c>
      <c r="Y55" s="54">
        <f t="shared" si="36"/>
        <v>35.929893036852057</v>
      </c>
      <c r="Z55" s="54">
        <f t="shared" si="36"/>
        <v>35.929893036852057</v>
      </c>
      <c r="AA55" s="54">
        <f t="shared" si="36"/>
        <v>35.929893036852057</v>
      </c>
    </row>
    <row r="56" spans="2:27" x14ac:dyDescent="0.35">
      <c r="B56" s="109" t="s">
        <v>869</v>
      </c>
      <c r="C56" s="97">
        <v>0</v>
      </c>
      <c r="D56" s="336">
        <f>C56+D55+D54</f>
        <v>131.07471708722852</v>
      </c>
      <c r="E56" s="336">
        <f t="shared" ref="E56:AA56" si="37">D56+E55+E54</f>
        <v>262.14943417445704</v>
      </c>
      <c r="F56" s="336">
        <f t="shared" si="37"/>
        <v>393.22415126168556</v>
      </c>
      <c r="G56" s="336">
        <f t="shared" si="37"/>
        <v>524.29886834891408</v>
      </c>
      <c r="H56" s="336">
        <f t="shared" si="37"/>
        <v>655.37358543614255</v>
      </c>
      <c r="I56" s="336">
        <f t="shared" si="37"/>
        <v>786.44830252337101</v>
      </c>
      <c r="J56" s="336">
        <f t="shared" si="37"/>
        <v>917.52301961059948</v>
      </c>
      <c r="K56" s="336">
        <f t="shared" si="37"/>
        <v>1048.5977366978279</v>
      </c>
      <c r="L56" s="336">
        <f t="shared" si="37"/>
        <v>1179.6724537850564</v>
      </c>
      <c r="M56" s="336">
        <f t="shared" si="37"/>
        <v>1310.7471708722849</v>
      </c>
      <c r="N56" s="336">
        <f t="shared" si="37"/>
        <v>1441.8218879595133</v>
      </c>
      <c r="O56" s="336">
        <f t="shared" si="37"/>
        <v>1572.8966050467418</v>
      </c>
      <c r="P56" s="336">
        <f t="shared" si="37"/>
        <v>1739.9012151708223</v>
      </c>
      <c r="Q56" s="336">
        <f t="shared" si="37"/>
        <v>1906.9058252949028</v>
      </c>
      <c r="R56" s="336">
        <f t="shared" si="37"/>
        <v>2073.9104354189835</v>
      </c>
      <c r="S56" s="336">
        <f t="shared" si="37"/>
        <v>2240.9150455430645</v>
      </c>
      <c r="T56" s="336">
        <f t="shared" si="37"/>
        <v>2407.9196556671454</v>
      </c>
      <c r="U56" s="336">
        <f t="shared" si="37"/>
        <v>2574.9242657912264</v>
      </c>
      <c r="V56" s="336">
        <f t="shared" si="37"/>
        <v>2741.9288759153073</v>
      </c>
      <c r="W56" s="336">
        <f t="shared" si="37"/>
        <v>2908.9334860393883</v>
      </c>
      <c r="X56" s="336">
        <f t="shared" si="37"/>
        <v>3075.9380961634693</v>
      </c>
      <c r="Y56" s="336">
        <f t="shared" si="37"/>
        <v>3242.9427062875502</v>
      </c>
      <c r="Z56" s="336">
        <f t="shared" si="37"/>
        <v>3409.9473164116312</v>
      </c>
      <c r="AA56" s="336">
        <f t="shared" si="37"/>
        <v>3576.9519265357121</v>
      </c>
    </row>
    <row r="57" spans="2:27" x14ac:dyDescent="0.35">
      <c r="B57" s="116" t="s">
        <v>868</v>
      </c>
      <c r="C57" s="8">
        <f>C56*($C$33/12)</f>
        <v>0</v>
      </c>
      <c r="D57" s="8">
        <f t="shared" ref="D57:AA57" si="38">D56*($C$33/12)</f>
        <v>3688.9742889788663</v>
      </c>
      <c r="E57" s="8">
        <f t="shared" si="38"/>
        <v>7377.9485779577326</v>
      </c>
      <c r="F57" s="8">
        <f t="shared" si="38"/>
        <v>11066.922866936598</v>
      </c>
      <c r="G57" s="8">
        <f t="shared" si="38"/>
        <v>14755.897155915465</v>
      </c>
      <c r="H57" s="8">
        <f t="shared" si="38"/>
        <v>18444.871444894328</v>
      </c>
      <c r="I57" s="8">
        <f t="shared" si="38"/>
        <v>22133.845733873193</v>
      </c>
      <c r="J57" s="8">
        <f t="shared" si="38"/>
        <v>25822.820022852058</v>
      </c>
      <c r="K57" s="8">
        <f t="shared" si="38"/>
        <v>29511.794311830923</v>
      </c>
      <c r="L57" s="8">
        <f t="shared" si="38"/>
        <v>33200.768600809788</v>
      </c>
      <c r="M57" s="8">
        <f t="shared" si="38"/>
        <v>36889.742889788649</v>
      </c>
      <c r="N57" s="8">
        <f t="shared" si="38"/>
        <v>40578.717178767518</v>
      </c>
      <c r="O57" s="8">
        <f t="shared" si="38"/>
        <v>44267.691467746379</v>
      </c>
      <c r="P57" s="8">
        <f t="shared" si="38"/>
        <v>48967.878708880628</v>
      </c>
      <c r="Q57" s="8">
        <f t="shared" si="38"/>
        <v>53668.065950014876</v>
      </c>
      <c r="R57" s="8">
        <f t="shared" si="38"/>
        <v>58368.253191149131</v>
      </c>
      <c r="S57" s="8">
        <f t="shared" si="38"/>
        <v>63068.440432283387</v>
      </c>
      <c r="T57" s="8">
        <f t="shared" si="38"/>
        <v>67768.62767341765</v>
      </c>
      <c r="U57" s="8">
        <f t="shared" si="38"/>
        <v>72468.814914551913</v>
      </c>
      <c r="V57" s="8">
        <f t="shared" si="38"/>
        <v>77169.002155686176</v>
      </c>
      <c r="W57" s="8">
        <f t="shared" si="38"/>
        <v>81869.189396820424</v>
      </c>
      <c r="X57" s="8">
        <f t="shared" si="38"/>
        <v>86569.376637954687</v>
      </c>
      <c r="Y57" s="8">
        <f t="shared" si="38"/>
        <v>91269.56387908895</v>
      </c>
      <c r="Z57" s="8">
        <f t="shared" si="38"/>
        <v>95969.751120223213</v>
      </c>
      <c r="AA57" s="8">
        <f t="shared" si="38"/>
        <v>100669.93836135748</v>
      </c>
    </row>
    <row r="58" spans="2:27" x14ac:dyDescent="0.35">
      <c r="B58" s="106" t="str">
        <f>B34</f>
        <v>LinkedIn Ad</v>
      </c>
    </row>
    <row r="59" spans="2:27" x14ac:dyDescent="0.35">
      <c r="B59" s="94" t="s">
        <v>856</v>
      </c>
      <c r="C59" s="95">
        <v>0</v>
      </c>
      <c r="D59" s="86">
        <f t="shared" ref="D59:AA59" si="39">$I24</f>
        <v>56.179775280898888</v>
      </c>
      <c r="E59" s="86">
        <f t="shared" si="39"/>
        <v>56.179775280898888</v>
      </c>
      <c r="F59" s="86">
        <f t="shared" si="39"/>
        <v>56.179775280898888</v>
      </c>
      <c r="G59" s="86">
        <f t="shared" si="39"/>
        <v>56.179775280898888</v>
      </c>
      <c r="H59" s="86">
        <f t="shared" si="39"/>
        <v>56.179775280898888</v>
      </c>
      <c r="I59" s="86">
        <f t="shared" si="39"/>
        <v>56.179775280898888</v>
      </c>
      <c r="J59" s="86">
        <f t="shared" si="39"/>
        <v>56.179775280898888</v>
      </c>
      <c r="K59" s="86">
        <f t="shared" si="39"/>
        <v>56.179775280898888</v>
      </c>
      <c r="L59" s="86">
        <f t="shared" si="39"/>
        <v>56.179775280898888</v>
      </c>
      <c r="M59" s="86">
        <f t="shared" si="39"/>
        <v>56.179775280898888</v>
      </c>
      <c r="N59" s="86">
        <f t="shared" si="39"/>
        <v>56.179775280898888</v>
      </c>
      <c r="O59" s="86">
        <f t="shared" si="39"/>
        <v>56.179775280898888</v>
      </c>
      <c r="P59" s="86">
        <f t="shared" si="39"/>
        <v>56.179775280898888</v>
      </c>
      <c r="Q59" s="86">
        <f t="shared" si="39"/>
        <v>56.179775280898888</v>
      </c>
      <c r="R59" s="86">
        <f t="shared" si="39"/>
        <v>56.179775280898888</v>
      </c>
      <c r="S59" s="86">
        <f t="shared" si="39"/>
        <v>56.179775280898888</v>
      </c>
      <c r="T59" s="86">
        <f t="shared" si="39"/>
        <v>56.179775280898888</v>
      </c>
      <c r="U59" s="86">
        <f t="shared" si="39"/>
        <v>56.179775280898888</v>
      </c>
      <c r="V59" s="86">
        <f t="shared" si="39"/>
        <v>56.179775280898888</v>
      </c>
      <c r="W59" s="86">
        <f t="shared" si="39"/>
        <v>56.179775280898888</v>
      </c>
      <c r="X59" s="86">
        <f t="shared" si="39"/>
        <v>56.179775280898888</v>
      </c>
      <c r="Y59" s="86">
        <f t="shared" si="39"/>
        <v>56.179775280898888</v>
      </c>
      <c r="Z59" s="86">
        <f t="shared" si="39"/>
        <v>56.179775280898888</v>
      </c>
      <c r="AA59" s="86">
        <f t="shared" si="39"/>
        <v>56.179775280898888</v>
      </c>
    </row>
    <row r="60" spans="2:27" x14ac:dyDescent="0.35">
      <c r="B60" s="94" t="s">
        <v>867</v>
      </c>
      <c r="C60" s="97">
        <v>0</v>
      </c>
      <c r="D60" s="97">
        <v>0</v>
      </c>
      <c r="E60" s="97">
        <v>0</v>
      </c>
      <c r="F60" s="97">
        <v>0</v>
      </c>
      <c r="G60" s="97">
        <v>0</v>
      </c>
      <c r="H60" s="97">
        <v>0</v>
      </c>
      <c r="I60" s="97">
        <v>0</v>
      </c>
      <c r="J60" s="97">
        <v>0</v>
      </c>
      <c r="K60" s="97">
        <v>0</v>
      </c>
      <c r="L60" s="97">
        <v>0</v>
      </c>
      <c r="M60" s="97">
        <v>0</v>
      </c>
      <c r="N60" s="97">
        <v>0</v>
      </c>
      <c r="O60" s="97">
        <v>0</v>
      </c>
      <c r="P60" s="54">
        <f>-ROUND((D59*(1-$D$34)),0)</f>
        <v>-15</v>
      </c>
      <c r="Q60" s="54">
        <f t="shared" ref="Q60:AA60" si="40">-ROUND((E59*(1-$D$34)),0)</f>
        <v>-15</v>
      </c>
      <c r="R60" s="54">
        <f t="shared" si="40"/>
        <v>-15</v>
      </c>
      <c r="S60" s="54">
        <f t="shared" si="40"/>
        <v>-15</v>
      </c>
      <c r="T60" s="54">
        <f t="shared" si="40"/>
        <v>-15</v>
      </c>
      <c r="U60" s="54">
        <f t="shared" si="40"/>
        <v>-15</v>
      </c>
      <c r="V60" s="54">
        <f>-ROUND((J59*(1-$D$34)),0)</f>
        <v>-15</v>
      </c>
      <c r="W60" s="54">
        <f>-ROUND((K59*(1-$D$34)),0)</f>
        <v>-15</v>
      </c>
      <c r="X60" s="54">
        <f>-ROUND((L59*(1-$D$34)),0)</f>
        <v>-15</v>
      </c>
      <c r="Y60" s="54">
        <f t="shared" si="40"/>
        <v>-15</v>
      </c>
      <c r="Z60" s="54">
        <f t="shared" si="40"/>
        <v>-15</v>
      </c>
      <c r="AA60" s="54">
        <f t="shared" si="40"/>
        <v>-15</v>
      </c>
    </row>
    <row r="61" spans="2:27" x14ac:dyDescent="0.35">
      <c r="B61" s="109" t="s">
        <v>869</v>
      </c>
      <c r="C61" s="107">
        <f>SUM(C59:C59)</f>
        <v>0</v>
      </c>
      <c r="D61" s="108">
        <f>C61+D59+D60</f>
        <v>56.179775280898888</v>
      </c>
      <c r="E61" s="108">
        <f t="shared" ref="E61" si="41">D61+E59+E60</f>
        <v>112.35955056179778</v>
      </c>
      <c r="F61" s="108">
        <f t="shared" ref="F61" si="42">E61+F59+F60</f>
        <v>168.53932584269666</v>
      </c>
      <c r="G61" s="108">
        <f t="shared" ref="G61" si="43">F61+G59+G60</f>
        <v>224.71910112359555</v>
      </c>
      <c r="H61" s="108">
        <f t="shared" ref="H61" si="44">G61+H59+H60</f>
        <v>280.89887640449444</v>
      </c>
      <c r="I61" s="108">
        <f t="shared" ref="I61" si="45">H61+I59+I60</f>
        <v>337.07865168539331</v>
      </c>
      <c r="J61" s="108">
        <f>I61+J59+J60</f>
        <v>393.25842696629218</v>
      </c>
      <c r="K61" s="108">
        <f t="shared" ref="K61" si="46">J61+K59+K60</f>
        <v>449.43820224719104</v>
      </c>
      <c r="L61" s="108">
        <f t="shared" ref="L61" si="47">K61+L59+L60</f>
        <v>505.61797752808991</v>
      </c>
      <c r="M61" s="108">
        <f>L61+M59+M60</f>
        <v>561.79775280898878</v>
      </c>
      <c r="N61" s="108">
        <f t="shared" ref="N61" si="48">M61+N59+N60</f>
        <v>617.97752808988764</v>
      </c>
      <c r="O61" s="108">
        <f t="shared" ref="O61" si="49">N61+O59+O60</f>
        <v>674.15730337078651</v>
      </c>
      <c r="P61" s="108">
        <f t="shared" ref="P61" si="50">O61+P59+P60</f>
        <v>715.33707865168537</v>
      </c>
      <c r="Q61" s="108">
        <f t="shared" ref="Q61" si="51">P61+Q59+Q60</f>
        <v>756.51685393258424</v>
      </c>
      <c r="R61" s="108">
        <f t="shared" ref="R61" si="52">Q61+R59+R60</f>
        <v>797.69662921348311</v>
      </c>
      <c r="S61" s="108">
        <f t="shared" ref="S61" si="53">R61+S59+S60</f>
        <v>838.87640449438197</v>
      </c>
      <c r="T61" s="108">
        <f t="shared" ref="T61" si="54">S61+T59+T60</f>
        <v>880.05617977528084</v>
      </c>
      <c r="U61" s="108">
        <f t="shared" ref="U61" si="55">T61+U59+U60</f>
        <v>921.23595505617971</v>
      </c>
      <c r="V61" s="108">
        <f t="shared" ref="V61" si="56">U61+V59+V60</f>
        <v>962.41573033707857</v>
      </c>
      <c r="W61" s="108">
        <f t="shared" ref="W61" si="57">V61+W59+W60</f>
        <v>1003.5955056179774</v>
      </c>
      <c r="X61" s="108">
        <f t="shared" ref="X61" si="58">W61+X59+X60</f>
        <v>1044.7752808988764</v>
      </c>
      <c r="Y61" s="108">
        <f t="shared" ref="Y61" si="59">X61+Y59+Y60</f>
        <v>1085.9550561797753</v>
      </c>
      <c r="Z61" s="108">
        <f t="shared" ref="Z61" si="60">Y61+Z59+Z60</f>
        <v>1127.1348314606741</v>
      </c>
      <c r="AA61" s="108">
        <f t="shared" ref="AA61" si="61">Z61+AA59+AA60</f>
        <v>1168.314606741573</v>
      </c>
    </row>
    <row r="62" spans="2:27" x14ac:dyDescent="0.35">
      <c r="B62" s="116" t="s">
        <v>868</v>
      </c>
      <c r="C62" s="8">
        <f t="shared" ref="C62:AA62" si="62">C61*($C$34/12)</f>
        <v>0</v>
      </c>
      <c r="D62" s="8">
        <f t="shared" si="62"/>
        <v>1404.4943820224721</v>
      </c>
      <c r="E62" s="8">
        <f t="shared" si="62"/>
        <v>2808.9887640449442</v>
      </c>
      <c r="F62" s="8">
        <f t="shared" si="62"/>
        <v>4213.4831460674168</v>
      </c>
      <c r="G62" s="8">
        <f t="shared" si="62"/>
        <v>5617.9775280898884</v>
      </c>
      <c r="H62" s="8">
        <f t="shared" si="62"/>
        <v>7022.471910112361</v>
      </c>
      <c r="I62" s="8">
        <f t="shared" si="62"/>
        <v>8426.9662921348336</v>
      </c>
      <c r="J62" s="8">
        <f t="shared" si="62"/>
        <v>9831.4606741573043</v>
      </c>
      <c r="K62" s="8">
        <f t="shared" si="62"/>
        <v>11235.955056179777</v>
      </c>
      <c r="L62" s="8">
        <f t="shared" si="62"/>
        <v>12640.449438202248</v>
      </c>
      <c r="M62" s="8">
        <f t="shared" si="62"/>
        <v>14044.94382022472</v>
      </c>
      <c r="N62" s="8">
        <f t="shared" si="62"/>
        <v>15449.438202247191</v>
      </c>
      <c r="O62" s="8">
        <f t="shared" si="62"/>
        <v>16853.932584269663</v>
      </c>
      <c r="P62" s="8">
        <f t="shared" si="62"/>
        <v>17883.426966292136</v>
      </c>
      <c r="Q62" s="8">
        <f t="shared" si="62"/>
        <v>18912.921348314605</v>
      </c>
      <c r="R62" s="8">
        <f t="shared" si="62"/>
        <v>19942.415730337078</v>
      </c>
      <c r="S62" s="8">
        <f t="shared" si="62"/>
        <v>20971.91011235955</v>
      </c>
      <c r="T62" s="8">
        <f t="shared" si="62"/>
        <v>22001.404494382023</v>
      </c>
      <c r="U62" s="8">
        <f t="shared" si="62"/>
        <v>23030.898876404492</v>
      </c>
      <c r="V62" s="8">
        <f t="shared" si="62"/>
        <v>24060.393258426964</v>
      </c>
      <c r="W62" s="8">
        <f t="shared" si="62"/>
        <v>25089.887640449437</v>
      </c>
      <c r="X62" s="8">
        <f t="shared" si="62"/>
        <v>26119.382022471909</v>
      </c>
      <c r="Y62" s="8">
        <f t="shared" si="62"/>
        <v>27148.876404494382</v>
      </c>
      <c r="Z62" s="8">
        <f t="shared" si="62"/>
        <v>28178.370786516854</v>
      </c>
      <c r="AA62" s="8">
        <f t="shared" si="62"/>
        <v>29207.865168539327</v>
      </c>
    </row>
    <row r="63" spans="2:27" x14ac:dyDescent="0.35">
      <c r="B63" s="106" t="str">
        <f>B35</f>
        <v>Instagram</v>
      </c>
    </row>
    <row r="64" spans="2:27" x14ac:dyDescent="0.35">
      <c r="B64" s="94" t="s">
        <v>856</v>
      </c>
      <c r="C64" s="95">
        <v>0</v>
      </c>
      <c r="D64" s="86">
        <f t="shared" ref="D64:AA64" si="63">$I25</f>
        <v>480</v>
      </c>
      <c r="E64" s="86">
        <f t="shared" si="63"/>
        <v>480</v>
      </c>
      <c r="F64" s="86">
        <f t="shared" si="63"/>
        <v>480</v>
      </c>
      <c r="G64" s="86">
        <f t="shared" si="63"/>
        <v>480</v>
      </c>
      <c r="H64" s="86">
        <f t="shared" si="63"/>
        <v>480</v>
      </c>
      <c r="I64" s="86">
        <f t="shared" si="63"/>
        <v>480</v>
      </c>
      <c r="J64" s="86">
        <f t="shared" si="63"/>
        <v>480</v>
      </c>
      <c r="K64" s="86">
        <f t="shared" si="63"/>
        <v>480</v>
      </c>
      <c r="L64" s="86">
        <f t="shared" si="63"/>
        <v>480</v>
      </c>
      <c r="M64" s="86">
        <f t="shared" si="63"/>
        <v>480</v>
      </c>
      <c r="N64" s="86">
        <f t="shared" si="63"/>
        <v>480</v>
      </c>
      <c r="O64" s="86">
        <f t="shared" si="63"/>
        <v>480</v>
      </c>
      <c r="P64" s="86">
        <f t="shared" si="63"/>
        <v>480</v>
      </c>
      <c r="Q64" s="86">
        <f t="shared" si="63"/>
        <v>480</v>
      </c>
      <c r="R64" s="86">
        <f t="shared" si="63"/>
        <v>480</v>
      </c>
      <c r="S64" s="86">
        <f t="shared" si="63"/>
        <v>480</v>
      </c>
      <c r="T64" s="86">
        <f t="shared" si="63"/>
        <v>480</v>
      </c>
      <c r="U64" s="86">
        <f t="shared" si="63"/>
        <v>480</v>
      </c>
      <c r="V64" s="86">
        <f t="shared" si="63"/>
        <v>480</v>
      </c>
      <c r="W64" s="86">
        <f t="shared" si="63"/>
        <v>480</v>
      </c>
      <c r="X64" s="86">
        <f t="shared" si="63"/>
        <v>480</v>
      </c>
      <c r="Y64" s="86">
        <f t="shared" si="63"/>
        <v>480</v>
      </c>
      <c r="Z64" s="86">
        <f t="shared" si="63"/>
        <v>480</v>
      </c>
      <c r="AA64" s="86">
        <f t="shared" si="63"/>
        <v>480</v>
      </c>
    </row>
    <row r="65" spans="2:27" x14ac:dyDescent="0.35">
      <c r="B65" s="94" t="s">
        <v>867</v>
      </c>
      <c r="C65" s="97">
        <v>0</v>
      </c>
      <c r="D65" s="97">
        <v>0</v>
      </c>
      <c r="E65" s="97">
        <v>0</v>
      </c>
      <c r="F65" s="97">
        <v>0</v>
      </c>
      <c r="G65" s="97">
        <v>0</v>
      </c>
      <c r="H65" s="97">
        <v>0</v>
      </c>
      <c r="I65" s="97">
        <v>0</v>
      </c>
      <c r="J65" s="97">
        <v>0</v>
      </c>
      <c r="K65" s="97">
        <v>0</v>
      </c>
      <c r="L65" s="97">
        <v>0</v>
      </c>
      <c r="M65" s="97">
        <v>0</v>
      </c>
      <c r="N65" s="97">
        <v>0</v>
      </c>
      <c r="O65" s="97">
        <v>0</v>
      </c>
      <c r="P65" s="54">
        <f>-ROUND((D64*(1-$D$35)),0)</f>
        <v>-168</v>
      </c>
      <c r="Q65" s="54">
        <f t="shared" ref="Q65:AA65" si="64">-ROUND((E64*(1-$D$35)),0)</f>
        <v>-168</v>
      </c>
      <c r="R65" s="54">
        <f t="shared" si="64"/>
        <v>-168</v>
      </c>
      <c r="S65" s="54">
        <f t="shared" si="64"/>
        <v>-168</v>
      </c>
      <c r="T65" s="54">
        <f t="shared" si="64"/>
        <v>-168</v>
      </c>
      <c r="U65" s="54">
        <f t="shared" si="64"/>
        <v>-168</v>
      </c>
      <c r="V65" s="54">
        <f>-ROUND((J64*(1-$D$35)),0)</f>
        <v>-168</v>
      </c>
      <c r="W65" s="54">
        <f>-ROUND((K64*(1-$D$35)),0)</f>
        <v>-168</v>
      </c>
      <c r="X65" s="54">
        <f>-ROUND((L64*(1-$D$35)),0)</f>
        <v>-168</v>
      </c>
      <c r="Y65" s="54">
        <f t="shared" si="64"/>
        <v>-168</v>
      </c>
      <c r="Z65" s="54">
        <f t="shared" si="64"/>
        <v>-168</v>
      </c>
      <c r="AA65" s="54">
        <f t="shared" si="64"/>
        <v>-168</v>
      </c>
    </row>
    <row r="66" spans="2:27" x14ac:dyDescent="0.35">
      <c r="B66" s="109" t="s">
        <v>869</v>
      </c>
      <c r="C66" s="107">
        <f>SUM(C64:C64)</f>
        <v>0</v>
      </c>
      <c r="D66" s="108">
        <f>C66+D64+D65</f>
        <v>480</v>
      </c>
      <c r="E66" s="108">
        <f t="shared" ref="E66" si="65">D66+E64+E65</f>
        <v>960</v>
      </c>
      <c r="F66" s="108">
        <f t="shared" ref="F66" si="66">E66+F64+F65</f>
        <v>1440</v>
      </c>
      <c r="G66" s="108">
        <f t="shared" ref="G66" si="67">F66+G64+G65</f>
        <v>1920</v>
      </c>
      <c r="H66" s="108">
        <f t="shared" ref="H66" si="68">G66+H64+H65</f>
        <v>2400</v>
      </c>
      <c r="I66" s="108">
        <f t="shared" ref="I66" si="69">H66+I64+I65</f>
        <v>2880</v>
      </c>
      <c r="J66" s="108">
        <f>I66+J64+J65</f>
        <v>3360</v>
      </c>
      <c r="K66" s="108">
        <f t="shared" ref="K66" si="70">J66+K64+K65</f>
        <v>3840</v>
      </c>
      <c r="L66" s="108">
        <f t="shared" ref="L66" si="71">K66+L64+L65</f>
        <v>4320</v>
      </c>
      <c r="M66" s="108">
        <f>L66+M64+M65</f>
        <v>4800</v>
      </c>
      <c r="N66" s="108">
        <f t="shared" ref="N66" si="72">M66+N64+N65</f>
        <v>5280</v>
      </c>
      <c r="O66" s="108">
        <f t="shared" ref="O66" si="73">N66+O64+O65</f>
        <v>5760</v>
      </c>
      <c r="P66" s="108">
        <f t="shared" ref="P66" si="74">O66+P64+P65</f>
        <v>6072</v>
      </c>
      <c r="Q66" s="108">
        <f t="shared" ref="Q66" si="75">P66+Q64+Q65</f>
        <v>6384</v>
      </c>
      <c r="R66" s="108">
        <f t="shared" ref="R66" si="76">Q66+R64+R65</f>
        <v>6696</v>
      </c>
      <c r="S66" s="108">
        <f t="shared" ref="S66" si="77">R66+S64+S65</f>
        <v>7008</v>
      </c>
      <c r="T66" s="108">
        <f t="shared" ref="T66" si="78">S66+T64+T65</f>
        <v>7320</v>
      </c>
      <c r="U66" s="108">
        <f t="shared" ref="U66" si="79">T66+U64+U65</f>
        <v>7632</v>
      </c>
      <c r="V66" s="108">
        <f t="shared" ref="V66" si="80">U66+V64+V65</f>
        <v>7944</v>
      </c>
      <c r="W66" s="108">
        <f t="shared" ref="W66" si="81">V66+W64+W65</f>
        <v>8256</v>
      </c>
      <c r="X66" s="108">
        <f t="shared" ref="X66" si="82">W66+X64+X65</f>
        <v>8568</v>
      </c>
      <c r="Y66" s="108">
        <f t="shared" ref="Y66" si="83">X66+Y64+Y65</f>
        <v>8880</v>
      </c>
      <c r="Z66" s="108">
        <f t="shared" ref="Z66" si="84">Y66+Z64+Z65</f>
        <v>9192</v>
      </c>
      <c r="AA66" s="108">
        <f t="shared" ref="AA66" si="85">Z66+AA64+AA65</f>
        <v>9504</v>
      </c>
    </row>
    <row r="67" spans="2:27" x14ac:dyDescent="0.35">
      <c r="B67" s="116" t="s">
        <v>868</v>
      </c>
      <c r="C67" s="8">
        <f t="shared" ref="C67:AA67" si="86">C66*($C$35/12)</f>
        <v>0</v>
      </c>
      <c r="D67" s="8">
        <f t="shared" si="86"/>
        <v>14360</v>
      </c>
      <c r="E67" s="8">
        <f t="shared" si="86"/>
        <v>28720</v>
      </c>
      <c r="F67" s="8">
        <f t="shared" si="86"/>
        <v>43080</v>
      </c>
      <c r="G67" s="8">
        <f t="shared" si="86"/>
        <v>57440</v>
      </c>
      <c r="H67" s="8">
        <f t="shared" si="86"/>
        <v>71800</v>
      </c>
      <c r="I67" s="8">
        <f t="shared" si="86"/>
        <v>86160</v>
      </c>
      <c r="J67" s="8">
        <f t="shared" si="86"/>
        <v>100520</v>
      </c>
      <c r="K67" s="8">
        <f t="shared" si="86"/>
        <v>114880</v>
      </c>
      <c r="L67" s="8">
        <f t="shared" si="86"/>
        <v>129240</v>
      </c>
      <c r="M67" s="8">
        <f t="shared" si="86"/>
        <v>143600</v>
      </c>
      <c r="N67" s="8">
        <f t="shared" si="86"/>
        <v>157960</v>
      </c>
      <c r="O67" s="8">
        <f t="shared" si="86"/>
        <v>172320</v>
      </c>
      <c r="P67" s="8">
        <f t="shared" si="86"/>
        <v>181654</v>
      </c>
      <c r="Q67" s="8">
        <f t="shared" si="86"/>
        <v>190988</v>
      </c>
      <c r="R67" s="8">
        <f t="shared" si="86"/>
        <v>200322</v>
      </c>
      <c r="S67" s="8">
        <f t="shared" si="86"/>
        <v>209656</v>
      </c>
      <c r="T67" s="8">
        <f t="shared" si="86"/>
        <v>218990</v>
      </c>
      <c r="U67" s="8">
        <f t="shared" si="86"/>
        <v>228324</v>
      </c>
      <c r="V67" s="8">
        <f t="shared" si="86"/>
        <v>237658</v>
      </c>
      <c r="W67" s="8">
        <f t="shared" si="86"/>
        <v>246992</v>
      </c>
      <c r="X67" s="8">
        <f t="shared" si="86"/>
        <v>256326</v>
      </c>
      <c r="Y67" s="8">
        <f t="shared" si="86"/>
        <v>265660</v>
      </c>
      <c r="Z67" s="8">
        <f t="shared" si="86"/>
        <v>274994</v>
      </c>
      <c r="AA67" s="8">
        <f t="shared" si="86"/>
        <v>284328</v>
      </c>
    </row>
    <row r="68" spans="2:27" x14ac:dyDescent="0.35">
      <c r="B68" s="106" t="str">
        <f>B36</f>
        <v>Facebook Organic</v>
      </c>
    </row>
    <row r="69" spans="2:27" x14ac:dyDescent="0.35">
      <c r="B69" s="94" t="s">
        <v>856</v>
      </c>
      <c r="C69" s="95">
        <v>0</v>
      </c>
      <c r="D69" s="86">
        <f>(D42-C42)*$G$28</f>
        <v>18.273600000000005</v>
      </c>
      <c r="E69" s="86">
        <f t="shared" ref="E69:AA69" si="87">(E42-D42)*$G$28</f>
        <v>19.918224000000009</v>
      </c>
      <c r="F69" s="86">
        <f t="shared" si="87"/>
        <v>21.710864160000021</v>
      </c>
      <c r="G69" s="86">
        <f t="shared" si="87"/>
        <v>23.66484193440003</v>
      </c>
      <c r="H69" s="86">
        <f t="shared" si="87"/>
        <v>25.794677708496021</v>
      </c>
      <c r="I69" s="86">
        <f t="shared" si="87"/>
        <v>28.116198702260665</v>
      </c>
      <c r="J69" s="86">
        <f t="shared" si="87"/>
        <v>30.646656585464154</v>
      </c>
      <c r="K69" s="86">
        <f t="shared" si="87"/>
        <v>33.404855678155947</v>
      </c>
      <c r="L69" s="86">
        <f t="shared" si="87"/>
        <v>36.411292689189942</v>
      </c>
      <c r="M69" s="86">
        <f t="shared" si="87"/>
        <v>39.688309031217067</v>
      </c>
      <c r="N69" s="86">
        <f t="shared" si="87"/>
        <v>43.260256844026593</v>
      </c>
      <c r="O69" s="86">
        <f t="shared" si="87"/>
        <v>47.153679959988949</v>
      </c>
      <c r="P69" s="86">
        <f t="shared" si="87"/>
        <v>51.397511156387992</v>
      </c>
      <c r="Q69" s="86">
        <f t="shared" si="87"/>
        <v>56.023287160462935</v>
      </c>
      <c r="R69" s="86">
        <f t="shared" si="87"/>
        <v>61.065383004904582</v>
      </c>
      <c r="S69" s="86">
        <f t="shared" si="87"/>
        <v>66.561267475345957</v>
      </c>
      <c r="T69" s="86">
        <f t="shared" si="87"/>
        <v>72.551781548127181</v>
      </c>
      <c r="U69" s="86">
        <f t="shared" si="87"/>
        <v>79.081441887458638</v>
      </c>
      <c r="V69" s="86">
        <f t="shared" si="87"/>
        <v>86.198771657329928</v>
      </c>
      <c r="W69" s="86">
        <f t="shared" si="87"/>
        <v>93.956661106489634</v>
      </c>
      <c r="X69" s="86">
        <f t="shared" si="87"/>
        <v>102.41276060607372</v>
      </c>
      <c r="Y69" s="86">
        <f t="shared" si="87"/>
        <v>111.62990906062026</v>
      </c>
      <c r="Z69" s="86">
        <f t="shared" si="87"/>
        <v>121.67660087607626</v>
      </c>
      <c r="AA69" s="86">
        <f t="shared" si="87"/>
        <v>132.62749495492287</v>
      </c>
    </row>
    <row r="70" spans="2:27" x14ac:dyDescent="0.35">
      <c r="B70" s="94" t="s">
        <v>867</v>
      </c>
      <c r="C70" s="97">
        <v>0</v>
      </c>
      <c r="D70" s="97">
        <v>0</v>
      </c>
      <c r="E70" s="97">
        <v>0</v>
      </c>
      <c r="F70" s="97">
        <v>0</v>
      </c>
      <c r="G70" s="97">
        <v>0</v>
      </c>
      <c r="H70" s="97">
        <v>0</v>
      </c>
      <c r="I70" s="97">
        <v>0</v>
      </c>
      <c r="J70" s="97">
        <v>0</v>
      </c>
      <c r="K70" s="97">
        <v>0</v>
      </c>
      <c r="L70" s="97">
        <v>0</v>
      </c>
      <c r="M70" s="97">
        <v>0</v>
      </c>
      <c r="N70" s="97">
        <v>0</v>
      </c>
      <c r="O70" s="97">
        <v>0</v>
      </c>
      <c r="P70" s="54">
        <f>D69*(1-$D$36)</f>
        <v>4.9338720000000018</v>
      </c>
      <c r="Q70" s="54">
        <f t="shared" ref="Q70:AA70" si="88">E69*(1-$D$36)</f>
        <v>5.3779204800000029</v>
      </c>
      <c r="R70" s="54">
        <f t="shared" si="88"/>
        <v>5.8619333232000059</v>
      </c>
      <c r="S70" s="54">
        <f t="shared" si="88"/>
        <v>6.3895073222880088</v>
      </c>
      <c r="T70" s="54">
        <f t="shared" si="88"/>
        <v>6.964562981293926</v>
      </c>
      <c r="U70" s="54">
        <f t="shared" si="88"/>
        <v>7.5913736496103796</v>
      </c>
      <c r="V70" s="54">
        <f t="shared" si="88"/>
        <v>8.2745972780753227</v>
      </c>
      <c r="W70" s="54">
        <f t="shared" si="88"/>
        <v>9.019311033102106</v>
      </c>
      <c r="X70" s="54">
        <f t="shared" si="88"/>
        <v>9.8310490260812848</v>
      </c>
      <c r="Y70" s="54">
        <f t="shared" si="88"/>
        <v>10.715843438428609</v>
      </c>
      <c r="Z70" s="54">
        <f t="shared" si="88"/>
        <v>11.680269347887181</v>
      </c>
      <c r="AA70" s="54">
        <f t="shared" si="88"/>
        <v>12.731493589197017</v>
      </c>
    </row>
    <row r="71" spans="2:27" x14ac:dyDescent="0.35">
      <c r="B71" s="109" t="s">
        <v>869</v>
      </c>
      <c r="C71" s="107">
        <f>C69</f>
        <v>0</v>
      </c>
      <c r="D71" s="108">
        <f>C71+D69+D70</f>
        <v>18.273600000000005</v>
      </c>
      <c r="E71" s="108">
        <f t="shared" ref="E71:AA71" si="89">D71+E69+E70</f>
        <v>38.191824000000011</v>
      </c>
      <c r="F71" s="108">
        <f t="shared" si="89"/>
        <v>59.902688160000032</v>
      </c>
      <c r="G71" s="108">
        <f t="shared" si="89"/>
        <v>83.56753009440007</v>
      </c>
      <c r="H71" s="108">
        <f t="shared" si="89"/>
        <v>109.36220780289609</v>
      </c>
      <c r="I71" s="108">
        <f t="shared" si="89"/>
        <v>137.47840650515676</v>
      </c>
      <c r="J71" s="108">
        <f t="shared" si="89"/>
        <v>168.1250630906209</v>
      </c>
      <c r="K71" s="108">
        <f t="shared" si="89"/>
        <v>201.52991876877684</v>
      </c>
      <c r="L71" s="108">
        <f t="shared" si="89"/>
        <v>237.94121145796677</v>
      </c>
      <c r="M71" s="108">
        <f t="shared" si="89"/>
        <v>277.62952048918385</v>
      </c>
      <c r="N71" s="108">
        <f t="shared" si="89"/>
        <v>320.88977733321042</v>
      </c>
      <c r="O71" s="108">
        <f t="shared" si="89"/>
        <v>368.04345729319937</v>
      </c>
      <c r="P71" s="108">
        <f t="shared" si="89"/>
        <v>424.37484044958734</v>
      </c>
      <c r="Q71" s="108">
        <f t="shared" si="89"/>
        <v>485.77604809005027</v>
      </c>
      <c r="R71" s="108">
        <f t="shared" si="89"/>
        <v>552.70336441815482</v>
      </c>
      <c r="S71" s="108">
        <f t="shared" si="89"/>
        <v>625.65413921578875</v>
      </c>
      <c r="T71" s="108">
        <f t="shared" si="89"/>
        <v>705.17048374520994</v>
      </c>
      <c r="U71" s="108">
        <f t="shared" si="89"/>
        <v>791.84329928227896</v>
      </c>
      <c r="V71" s="108">
        <f t="shared" si="89"/>
        <v>886.31666821768431</v>
      </c>
      <c r="W71" s="108">
        <f t="shared" si="89"/>
        <v>989.29264035727601</v>
      </c>
      <c r="X71" s="108">
        <f t="shared" si="89"/>
        <v>1101.536449989431</v>
      </c>
      <c r="Y71" s="108">
        <f t="shared" si="89"/>
        <v>1223.8822024884801</v>
      </c>
      <c r="Z71" s="108">
        <f t="shared" si="89"/>
        <v>1357.2390727124434</v>
      </c>
      <c r="AA71" s="108">
        <f t="shared" si="89"/>
        <v>1502.5980612565634</v>
      </c>
    </row>
    <row r="72" spans="2:27" x14ac:dyDescent="0.35">
      <c r="B72" s="116" t="s">
        <v>868</v>
      </c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</row>
    <row r="73" spans="2:27" x14ac:dyDescent="0.35">
      <c r="B73" s="106" t="str">
        <f>B37</f>
        <v>LinkedIn Organic</v>
      </c>
    </row>
    <row r="74" spans="2:27" x14ac:dyDescent="0.35">
      <c r="B74" s="94" t="s">
        <v>856</v>
      </c>
      <c r="C74" s="95">
        <v>0</v>
      </c>
      <c r="D74" s="86">
        <f t="shared" ref="D74:AA74" si="90">ROUND((D43-C43)*$G29,0)</f>
        <v>4</v>
      </c>
      <c r="E74" s="86">
        <f t="shared" si="90"/>
        <v>4</v>
      </c>
      <c r="F74" s="86">
        <f t="shared" si="90"/>
        <v>5</v>
      </c>
      <c r="G74" s="86">
        <f t="shared" si="90"/>
        <v>5</v>
      </c>
      <c r="H74" s="86">
        <f t="shared" si="90"/>
        <v>5</v>
      </c>
      <c r="I74" s="86">
        <f t="shared" si="90"/>
        <v>6</v>
      </c>
      <c r="J74" s="86">
        <f t="shared" si="90"/>
        <v>6</v>
      </c>
      <c r="K74" s="86">
        <f t="shared" si="90"/>
        <v>7</v>
      </c>
      <c r="L74" s="86">
        <f t="shared" si="90"/>
        <v>8</v>
      </c>
      <c r="M74" s="86">
        <f t="shared" si="90"/>
        <v>8</v>
      </c>
      <c r="N74" s="86">
        <f t="shared" si="90"/>
        <v>9</v>
      </c>
      <c r="O74" s="86">
        <f t="shared" si="90"/>
        <v>10</v>
      </c>
      <c r="P74" s="86">
        <f t="shared" si="90"/>
        <v>11</v>
      </c>
      <c r="Q74" s="86">
        <f t="shared" si="90"/>
        <v>12</v>
      </c>
      <c r="R74" s="86">
        <f t="shared" si="90"/>
        <v>13</v>
      </c>
      <c r="S74" s="86">
        <f t="shared" si="90"/>
        <v>14</v>
      </c>
      <c r="T74" s="86">
        <f t="shared" si="90"/>
        <v>15</v>
      </c>
      <c r="U74" s="86">
        <f t="shared" si="90"/>
        <v>16</v>
      </c>
      <c r="V74" s="86">
        <f t="shared" si="90"/>
        <v>18</v>
      </c>
      <c r="W74" s="86">
        <f t="shared" si="90"/>
        <v>20</v>
      </c>
      <c r="X74" s="86">
        <f t="shared" si="90"/>
        <v>21</v>
      </c>
      <c r="Y74" s="86">
        <f t="shared" si="90"/>
        <v>23</v>
      </c>
      <c r="Z74" s="86">
        <f t="shared" si="90"/>
        <v>25</v>
      </c>
      <c r="AA74" s="86">
        <f t="shared" si="90"/>
        <v>28</v>
      </c>
    </row>
    <row r="75" spans="2:27" x14ac:dyDescent="0.35">
      <c r="B75" s="94" t="s">
        <v>867</v>
      </c>
      <c r="C75" s="97">
        <v>0</v>
      </c>
      <c r="D75" s="97">
        <v>0</v>
      </c>
      <c r="E75" s="97">
        <v>0</v>
      </c>
      <c r="F75" s="97">
        <v>0</v>
      </c>
      <c r="G75" s="97">
        <v>0</v>
      </c>
      <c r="H75" s="97">
        <v>0</v>
      </c>
      <c r="I75" s="97">
        <v>0</v>
      </c>
      <c r="J75" s="97">
        <v>0</v>
      </c>
      <c r="K75" s="97">
        <v>0</v>
      </c>
      <c r="L75" s="97">
        <v>0</v>
      </c>
      <c r="M75" s="97">
        <v>0</v>
      </c>
      <c r="N75" s="97">
        <v>0</v>
      </c>
      <c r="O75" s="97">
        <v>0</v>
      </c>
      <c r="P75" s="54">
        <f>-ROUND((D74*(1-$D$37)),0)</f>
        <v>-1</v>
      </c>
      <c r="Q75" s="54">
        <f t="shared" ref="Q75:AA75" si="91">-ROUND((E74*(1-$D$37)),0)</f>
        <v>-1</v>
      </c>
      <c r="R75" s="54">
        <f t="shared" si="91"/>
        <v>-1</v>
      </c>
      <c r="S75" s="54">
        <f t="shared" si="91"/>
        <v>-1</v>
      </c>
      <c r="T75" s="54">
        <f t="shared" si="91"/>
        <v>-1</v>
      </c>
      <c r="U75" s="54">
        <f t="shared" si="91"/>
        <v>-2</v>
      </c>
      <c r="V75" s="54">
        <f>-ROUND((J74*(1-$D$37)),0)</f>
        <v>-2</v>
      </c>
      <c r="W75" s="54">
        <f>-ROUND((K74*(1-$D$37)),0)</f>
        <v>-2</v>
      </c>
      <c r="X75" s="54">
        <f>-ROUND((L74*(1-$D$37)),0)</f>
        <v>-2</v>
      </c>
      <c r="Y75" s="54">
        <f t="shared" si="91"/>
        <v>-2</v>
      </c>
      <c r="Z75" s="54">
        <f t="shared" si="91"/>
        <v>-2</v>
      </c>
      <c r="AA75" s="54">
        <f t="shared" si="91"/>
        <v>-3</v>
      </c>
    </row>
    <row r="76" spans="2:27" x14ac:dyDescent="0.35">
      <c r="B76" s="109" t="s">
        <v>869</v>
      </c>
      <c r="C76" s="107">
        <f>SUM(C74:C74)</f>
        <v>0</v>
      </c>
      <c r="D76" s="108">
        <f>C76+D74+D75</f>
        <v>4</v>
      </c>
      <c r="E76" s="108">
        <f t="shared" ref="E76" si="92">D76+E74+E75</f>
        <v>8</v>
      </c>
      <c r="F76" s="108">
        <f t="shared" ref="F76" si="93">E76+F74+F75</f>
        <v>13</v>
      </c>
      <c r="G76" s="108">
        <f t="shared" ref="G76" si="94">F76+G74+G75</f>
        <v>18</v>
      </c>
      <c r="H76" s="108">
        <f t="shared" ref="H76" si="95">G76+H74+H75</f>
        <v>23</v>
      </c>
      <c r="I76" s="108">
        <f t="shared" ref="I76" si="96">H76+I74+I75</f>
        <v>29</v>
      </c>
      <c r="J76" s="108">
        <f>I76+J74+J75</f>
        <v>35</v>
      </c>
      <c r="K76" s="108">
        <f t="shared" ref="K76" si="97">J76+K74+K75</f>
        <v>42</v>
      </c>
      <c r="L76" s="108">
        <f t="shared" ref="L76" si="98">K76+L74+L75</f>
        <v>50</v>
      </c>
      <c r="M76" s="108">
        <f>L76+M74+M75</f>
        <v>58</v>
      </c>
      <c r="N76" s="108">
        <f t="shared" ref="N76" si="99">M76+N74+N75</f>
        <v>67</v>
      </c>
      <c r="O76" s="108">
        <f t="shared" ref="O76" si="100">N76+O74+O75</f>
        <v>77</v>
      </c>
      <c r="P76" s="108">
        <f t="shared" ref="P76" si="101">O76+P74+P75</f>
        <v>87</v>
      </c>
      <c r="Q76" s="108">
        <f t="shared" ref="Q76" si="102">P76+Q74+Q75</f>
        <v>98</v>
      </c>
      <c r="R76" s="108">
        <f t="shared" ref="R76" si="103">Q76+R74+R75</f>
        <v>110</v>
      </c>
      <c r="S76" s="108">
        <f t="shared" ref="S76" si="104">R76+S74+S75</f>
        <v>123</v>
      </c>
      <c r="T76" s="108">
        <f t="shared" ref="T76" si="105">S76+T74+T75</f>
        <v>137</v>
      </c>
      <c r="U76" s="108">
        <f t="shared" ref="U76" si="106">T76+U74+U75</f>
        <v>151</v>
      </c>
      <c r="V76" s="108">
        <f t="shared" ref="V76" si="107">U76+V74+V75</f>
        <v>167</v>
      </c>
      <c r="W76" s="108">
        <f t="shared" ref="W76" si="108">V76+W74+W75</f>
        <v>185</v>
      </c>
      <c r="X76" s="108">
        <f t="shared" ref="X76" si="109">W76+X74+X75</f>
        <v>204</v>
      </c>
      <c r="Y76" s="108">
        <f t="shared" ref="Y76" si="110">X76+Y74+Y75</f>
        <v>225</v>
      </c>
      <c r="Z76" s="108">
        <f t="shared" ref="Z76" si="111">Y76+Z74+Z75</f>
        <v>248</v>
      </c>
      <c r="AA76" s="108">
        <f t="shared" ref="AA76" si="112">Z76+AA74+AA75</f>
        <v>273</v>
      </c>
    </row>
    <row r="77" spans="2:27" x14ac:dyDescent="0.35">
      <c r="B77" s="116" t="s">
        <v>868</v>
      </c>
      <c r="C77" s="8">
        <f>C76*($C$37/12)</f>
        <v>0</v>
      </c>
      <c r="D77" s="8">
        <f t="shared" ref="D77:AA77" si="113">D76*($C$37/12)</f>
        <v>111.66666666666667</v>
      </c>
      <c r="E77" s="8">
        <f t="shared" si="113"/>
        <v>223.33333333333334</v>
      </c>
      <c r="F77" s="8">
        <f t="shared" si="113"/>
        <v>362.91666666666669</v>
      </c>
      <c r="G77" s="8">
        <f t="shared" si="113"/>
        <v>502.5</v>
      </c>
      <c r="H77" s="8">
        <f t="shared" si="113"/>
        <v>642.08333333333337</v>
      </c>
      <c r="I77" s="8">
        <f t="shared" si="113"/>
        <v>809.58333333333337</v>
      </c>
      <c r="J77" s="8">
        <f t="shared" si="113"/>
        <v>977.08333333333337</v>
      </c>
      <c r="K77" s="8">
        <f t="shared" si="113"/>
        <v>1172.5</v>
      </c>
      <c r="L77" s="8">
        <f t="shared" si="113"/>
        <v>1395.8333333333335</v>
      </c>
      <c r="M77" s="8">
        <f t="shared" si="113"/>
        <v>1619.1666666666667</v>
      </c>
      <c r="N77" s="8">
        <f t="shared" si="113"/>
        <v>1870.4166666666667</v>
      </c>
      <c r="O77" s="8">
        <f t="shared" si="113"/>
        <v>2149.5833333333335</v>
      </c>
      <c r="P77" s="8">
        <f t="shared" si="113"/>
        <v>2428.75</v>
      </c>
      <c r="Q77" s="8">
        <f t="shared" si="113"/>
        <v>2735.8333333333335</v>
      </c>
      <c r="R77" s="8">
        <f t="shared" si="113"/>
        <v>3070.8333333333335</v>
      </c>
      <c r="S77" s="8">
        <f t="shared" si="113"/>
        <v>3433.75</v>
      </c>
      <c r="T77" s="8">
        <f t="shared" si="113"/>
        <v>3824.5833333333335</v>
      </c>
      <c r="U77" s="8">
        <f t="shared" si="113"/>
        <v>4215.416666666667</v>
      </c>
      <c r="V77" s="8">
        <f t="shared" si="113"/>
        <v>4662.0833333333339</v>
      </c>
      <c r="W77" s="8">
        <f t="shared" si="113"/>
        <v>5164.5833333333339</v>
      </c>
      <c r="X77" s="8">
        <f t="shared" si="113"/>
        <v>5695</v>
      </c>
      <c r="Y77" s="8">
        <f t="shared" si="113"/>
        <v>6281.25</v>
      </c>
      <c r="Z77" s="8">
        <f t="shared" si="113"/>
        <v>6923.3333333333339</v>
      </c>
      <c r="AA77" s="8">
        <f t="shared" si="113"/>
        <v>7621.25</v>
      </c>
    </row>
    <row r="78" spans="2:27" x14ac:dyDescent="0.35">
      <c r="B78" s="106" t="str">
        <f>B38</f>
        <v>Twitter Organic</v>
      </c>
    </row>
    <row r="79" spans="2:27" x14ac:dyDescent="0.35">
      <c r="B79" s="94" t="s">
        <v>856</v>
      </c>
      <c r="C79" s="95">
        <v>0</v>
      </c>
      <c r="D79" s="86">
        <f t="shared" ref="D79:AA79" si="114">ROUND((D44-C44)*$G30,0)</f>
        <v>1</v>
      </c>
      <c r="E79" s="86">
        <f t="shared" si="114"/>
        <v>1</v>
      </c>
      <c r="F79" s="86">
        <f t="shared" si="114"/>
        <v>1</v>
      </c>
      <c r="G79" s="86">
        <f t="shared" si="114"/>
        <v>1</v>
      </c>
      <c r="H79" s="86">
        <f t="shared" si="114"/>
        <v>1</v>
      </c>
      <c r="I79" s="86">
        <f t="shared" si="114"/>
        <v>1</v>
      </c>
      <c r="J79" s="86">
        <f t="shared" si="114"/>
        <v>1</v>
      </c>
      <c r="K79" s="86">
        <f t="shared" si="114"/>
        <v>2</v>
      </c>
      <c r="L79" s="86">
        <f t="shared" si="114"/>
        <v>2</v>
      </c>
      <c r="M79" s="86">
        <f t="shared" si="114"/>
        <v>2</v>
      </c>
      <c r="N79" s="86">
        <f t="shared" si="114"/>
        <v>2</v>
      </c>
      <c r="O79" s="86">
        <f t="shared" si="114"/>
        <v>2</v>
      </c>
      <c r="P79" s="86">
        <f t="shared" si="114"/>
        <v>2</v>
      </c>
      <c r="Q79" s="86">
        <f t="shared" si="114"/>
        <v>3</v>
      </c>
      <c r="R79" s="86">
        <f t="shared" si="114"/>
        <v>3</v>
      </c>
      <c r="S79" s="86">
        <f t="shared" si="114"/>
        <v>3</v>
      </c>
      <c r="T79" s="86">
        <f t="shared" si="114"/>
        <v>3</v>
      </c>
      <c r="U79" s="86">
        <f t="shared" si="114"/>
        <v>4</v>
      </c>
      <c r="V79" s="86">
        <f t="shared" si="114"/>
        <v>4</v>
      </c>
      <c r="W79" s="86">
        <f t="shared" si="114"/>
        <v>4</v>
      </c>
      <c r="X79" s="86">
        <f t="shared" si="114"/>
        <v>5</v>
      </c>
      <c r="Y79" s="86">
        <f t="shared" si="114"/>
        <v>5</v>
      </c>
      <c r="Z79" s="86">
        <f t="shared" si="114"/>
        <v>6</v>
      </c>
      <c r="AA79" s="86">
        <f t="shared" si="114"/>
        <v>6</v>
      </c>
    </row>
    <row r="80" spans="2:27" x14ac:dyDescent="0.35">
      <c r="B80" s="94" t="s">
        <v>867</v>
      </c>
      <c r="C80" s="97">
        <v>0</v>
      </c>
      <c r="D80" s="97">
        <v>0</v>
      </c>
      <c r="E80" s="97">
        <v>0</v>
      </c>
      <c r="F80" s="97">
        <v>0</v>
      </c>
      <c r="G80" s="97">
        <v>0</v>
      </c>
      <c r="H80" s="97">
        <v>0</v>
      </c>
      <c r="I80" s="97">
        <v>0</v>
      </c>
      <c r="J80" s="97">
        <v>0</v>
      </c>
      <c r="K80" s="97">
        <v>0</v>
      </c>
      <c r="L80" s="97">
        <v>0</v>
      </c>
      <c r="M80" s="97">
        <v>0</v>
      </c>
      <c r="N80" s="97">
        <v>0</v>
      </c>
      <c r="O80" s="97">
        <v>0</v>
      </c>
      <c r="P80" s="54">
        <f>-ROUND((D79*(1-$D$38)),0)</f>
        <v>0</v>
      </c>
      <c r="Q80" s="54">
        <f t="shared" ref="Q80:AA80" si="115">-ROUND((E79*(1-$D$38)),0)</f>
        <v>0</v>
      </c>
      <c r="R80" s="54">
        <f t="shared" si="115"/>
        <v>0</v>
      </c>
      <c r="S80" s="54">
        <f t="shared" si="115"/>
        <v>0</v>
      </c>
      <c r="T80" s="54">
        <f t="shared" si="115"/>
        <v>0</v>
      </c>
      <c r="U80" s="54">
        <f t="shared" si="115"/>
        <v>0</v>
      </c>
      <c r="V80" s="54">
        <f>-ROUND((J79*(1-$D$38)),0)</f>
        <v>0</v>
      </c>
      <c r="W80" s="54">
        <f>-ROUND((K79*(1-$D$38)),0)</f>
        <v>-1</v>
      </c>
      <c r="X80" s="54">
        <f>-ROUND((L79*(1-$D$38)),0)</f>
        <v>-1</v>
      </c>
      <c r="Y80" s="54">
        <f t="shared" si="115"/>
        <v>-1</v>
      </c>
      <c r="Z80" s="54">
        <f t="shared" si="115"/>
        <v>-1</v>
      </c>
      <c r="AA80" s="54">
        <f t="shared" si="115"/>
        <v>-1</v>
      </c>
    </row>
    <row r="81" spans="2:27" x14ac:dyDescent="0.35">
      <c r="B81" s="109" t="s">
        <v>869</v>
      </c>
      <c r="C81" s="107">
        <f>SUM(C79:C79)</f>
        <v>0</v>
      </c>
      <c r="D81" s="108">
        <f>C81+D79+D80</f>
        <v>1</v>
      </c>
      <c r="E81" s="108">
        <f t="shared" ref="E81" si="116">D81+E79+E80</f>
        <v>2</v>
      </c>
      <c r="F81" s="108">
        <f t="shared" ref="F81" si="117">E81+F79+F80</f>
        <v>3</v>
      </c>
      <c r="G81" s="108">
        <f t="shared" ref="G81" si="118">F81+G79+G80</f>
        <v>4</v>
      </c>
      <c r="H81" s="108">
        <f t="shared" ref="H81" si="119">G81+H79+H80</f>
        <v>5</v>
      </c>
      <c r="I81" s="108">
        <f t="shared" ref="I81" si="120">H81+I79+I80</f>
        <v>6</v>
      </c>
      <c r="J81" s="108">
        <f>I81+J79+J80</f>
        <v>7</v>
      </c>
      <c r="K81" s="108">
        <f t="shared" ref="K81" si="121">J81+K79+K80</f>
        <v>9</v>
      </c>
      <c r="L81" s="108">
        <f t="shared" ref="L81" si="122">K81+L79+L80</f>
        <v>11</v>
      </c>
      <c r="M81" s="108">
        <f>L81+M79+M80</f>
        <v>13</v>
      </c>
      <c r="N81" s="108">
        <f t="shared" ref="N81" si="123">M81+N79+N80</f>
        <v>15</v>
      </c>
      <c r="O81" s="108">
        <f t="shared" ref="O81" si="124">N81+O79+O80</f>
        <v>17</v>
      </c>
      <c r="P81" s="108">
        <f t="shared" ref="P81" si="125">O81+P79+P80</f>
        <v>19</v>
      </c>
      <c r="Q81" s="108">
        <f t="shared" ref="Q81" si="126">P81+Q79+Q80</f>
        <v>22</v>
      </c>
      <c r="R81" s="108">
        <f t="shared" ref="R81" si="127">Q81+R79+R80</f>
        <v>25</v>
      </c>
      <c r="S81" s="108">
        <f t="shared" ref="S81" si="128">R81+S79+S80</f>
        <v>28</v>
      </c>
      <c r="T81" s="108">
        <f t="shared" ref="T81" si="129">S81+T79+T80</f>
        <v>31</v>
      </c>
      <c r="U81" s="108">
        <f t="shared" ref="U81" si="130">T81+U79+U80</f>
        <v>35</v>
      </c>
      <c r="V81" s="108">
        <f t="shared" ref="V81" si="131">U81+V79+V80</f>
        <v>39</v>
      </c>
      <c r="W81" s="108">
        <f t="shared" ref="W81" si="132">V81+W79+W80</f>
        <v>42</v>
      </c>
      <c r="X81" s="108">
        <f t="shared" ref="X81" si="133">W81+X79+X80</f>
        <v>46</v>
      </c>
      <c r="Y81" s="108">
        <f t="shared" ref="Y81" si="134">X81+Y79+Y80</f>
        <v>50</v>
      </c>
      <c r="Z81" s="108">
        <f t="shared" ref="Z81" si="135">Y81+Z79+Z80</f>
        <v>55</v>
      </c>
      <c r="AA81" s="108">
        <f t="shared" ref="AA81" si="136">Z81+AA79+AA80</f>
        <v>60</v>
      </c>
    </row>
    <row r="82" spans="2:27" x14ac:dyDescent="0.35">
      <c r="B82" s="116" t="s">
        <v>868</v>
      </c>
      <c r="C82" s="8">
        <f>C81*($C$38/12)</f>
        <v>0</v>
      </c>
      <c r="D82" s="8">
        <f t="shared" ref="D82:AA82" si="137">D81*($C$38/12)</f>
        <v>27.5</v>
      </c>
      <c r="E82" s="8">
        <f t="shared" si="137"/>
        <v>55</v>
      </c>
      <c r="F82" s="8">
        <f t="shared" si="137"/>
        <v>82.5</v>
      </c>
      <c r="G82" s="8">
        <f t="shared" si="137"/>
        <v>110</v>
      </c>
      <c r="H82" s="8">
        <f t="shared" si="137"/>
        <v>137.5</v>
      </c>
      <c r="I82" s="8">
        <f t="shared" si="137"/>
        <v>165</v>
      </c>
      <c r="J82" s="8">
        <f t="shared" si="137"/>
        <v>192.5</v>
      </c>
      <c r="K82" s="8">
        <f t="shared" si="137"/>
        <v>247.5</v>
      </c>
      <c r="L82" s="8">
        <f t="shared" si="137"/>
        <v>302.5</v>
      </c>
      <c r="M82" s="8">
        <f t="shared" si="137"/>
        <v>357.5</v>
      </c>
      <c r="N82" s="8">
        <f t="shared" si="137"/>
        <v>412.5</v>
      </c>
      <c r="O82" s="8">
        <f t="shared" si="137"/>
        <v>467.5</v>
      </c>
      <c r="P82" s="8">
        <f t="shared" si="137"/>
        <v>522.5</v>
      </c>
      <c r="Q82" s="8">
        <f t="shared" si="137"/>
        <v>605</v>
      </c>
      <c r="R82" s="8">
        <f t="shared" si="137"/>
        <v>687.5</v>
      </c>
      <c r="S82" s="8">
        <f t="shared" si="137"/>
        <v>770</v>
      </c>
      <c r="T82" s="8">
        <f t="shared" si="137"/>
        <v>852.5</v>
      </c>
      <c r="U82" s="8">
        <f t="shared" si="137"/>
        <v>962.5</v>
      </c>
      <c r="V82" s="8">
        <f t="shared" si="137"/>
        <v>1072.5</v>
      </c>
      <c r="W82" s="8">
        <f t="shared" si="137"/>
        <v>1155</v>
      </c>
      <c r="X82" s="8">
        <f t="shared" si="137"/>
        <v>1265</v>
      </c>
      <c r="Y82" s="8">
        <f t="shared" si="137"/>
        <v>1375</v>
      </c>
      <c r="Z82" s="8">
        <f t="shared" si="137"/>
        <v>1512.5</v>
      </c>
      <c r="AA82" s="8">
        <f t="shared" si="137"/>
        <v>1650</v>
      </c>
    </row>
    <row r="83" spans="2:27" x14ac:dyDescent="0.35">
      <c r="B83" s="79" t="s">
        <v>864</v>
      </c>
      <c r="C83" s="80">
        <f t="shared" ref="C83:AA83" si="138">C52+C57+C62+C67+C72+C77+C82</f>
        <v>0</v>
      </c>
      <c r="D83" s="80">
        <f t="shared" si="138"/>
        <v>20958.828453512684</v>
      </c>
      <c r="E83" s="80">
        <f t="shared" si="138"/>
        <v>41917.656907025368</v>
      </c>
      <c r="F83" s="80">
        <f t="shared" si="138"/>
        <v>62904.402027204706</v>
      </c>
      <c r="G83" s="80">
        <f t="shared" si="138"/>
        <v>83891.147147384065</v>
      </c>
      <c r="H83" s="80">
        <f t="shared" si="138"/>
        <v>104877.89226756339</v>
      </c>
      <c r="I83" s="80">
        <f t="shared" si="138"/>
        <v>125892.5540544094</v>
      </c>
      <c r="J83" s="80">
        <f t="shared" si="138"/>
        <v>146907.21584125541</v>
      </c>
      <c r="K83" s="80">
        <f t="shared" si="138"/>
        <v>167977.2942947681</v>
      </c>
      <c r="L83" s="80">
        <f t="shared" si="138"/>
        <v>189075.28941494745</v>
      </c>
      <c r="M83" s="80">
        <f t="shared" si="138"/>
        <v>210173.28453512679</v>
      </c>
      <c r="N83" s="80">
        <f t="shared" si="138"/>
        <v>231299.19632197279</v>
      </c>
      <c r="O83" s="80">
        <f t="shared" si="138"/>
        <v>252453.02477548548</v>
      </c>
      <c r="P83" s="80">
        <f t="shared" si="138"/>
        <v>269217.06618115352</v>
      </c>
      <c r="Q83" s="80">
        <f t="shared" si="138"/>
        <v>286036.52425348823</v>
      </c>
      <c r="R83" s="80">
        <f t="shared" si="138"/>
        <v>302883.89899248962</v>
      </c>
      <c r="S83" s="80">
        <f t="shared" si="138"/>
        <v>319759.19039815775</v>
      </c>
      <c r="T83" s="80">
        <f t="shared" si="138"/>
        <v>336662.39847049245</v>
      </c>
      <c r="U83" s="80">
        <f t="shared" si="138"/>
        <v>353593.10654282727</v>
      </c>
      <c r="V83" s="80">
        <f t="shared" si="138"/>
        <v>370579.64794849529</v>
      </c>
      <c r="W83" s="80">
        <f t="shared" si="138"/>
        <v>387594.52268749668</v>
      </c>
      <c r="X83" s="80">
        <f t="shared" si="138"/>
        <v>404664.81409316475</v>
      </c>
      <c r="Y83" s="80">
        <f t="shared" si="138"/>
        <v>421790.9388321662</v>
      </c>
      <c r="Z83" s="80">
        <f t="shared" si="138"/>
        <v>439000.3969045009</v>
      </c>
      <c r="AA83" s="80">
        <f t="shared" si="138"/>
        <v>456265.68831016903</v>
      </c>
    </row>
    <row r="84" spans="2:27" x14ac:dyDescent="0.35">
      <c r="B84" s="104" t="s">
        <v>866</v>
      </c>
      <c r="C84" s="114">
        <f>SUM($C$83:C83)</f>
        <v>0</v>
      </c>
      <c r="D84" s="114">
        <f>SUM($C$83:D83)</f>
        <v>20958.828453512684</v>
      </c>
      <c r="E84" s="114">
        <f>SUM($C$83:E83)</f>
        <v>62876.485360538049</v>
      </c>
      <c r="F84" s="114">
        <f>SUM($C$83:F83)</f>
        <v>125780.88738774275</v>
      </c>
      <c r="G84" s="114">
        <f>SUM($C$83:G83)</f>
        <v>209672.03453512682</v>
      </c>
      <c r="H84" s="114">
        <f>SUM($C$83:H83)</f>
        <v>314549.9268026902</v>
      </c>
      <c r="I84" s="114">
        <f>SUM($C$83:I83)</f>
        <v>440442.48085709958</v>
      </c>
      <c r="J84" s="114">
        <f>SUM($C$83:J83)</f>
        <v>587349.69669835502</v>
      </c>
      <c r="K84" s="114">
        <f>SUM($C$83:K83)</f>
        <v>755326.99099312315</v>
      </c>
      <c r="L84" s="114">
        <f>SUM($C$83:L83)</f>
        <v>944402.28040807066</v>
      </c>
      <c r="M84" s="114">
        <f>SUM($C$83:M83)</f>
        <v>1154575.5649431974</v>
      </c>
      <c r="N84" s="114">
        <f>SUM($C$83:N83)</f>
        <v>1385874.7612651703</v>
      </c>
      <c r="O84" s="114">
        <f>SUM($C$83:O83)</f>
        <v>1638327.7860406558</v>
      </c>
      <c r="P84" s="114">
        <f>SUM($C$83:P83)</f>
        <v>1907544.8522218093</v>
      </c>
      <c r="Q84" s="114">
        <f>SUM($C$83:Q83)</f>
        <v>2193581.3764752974</v>
      </c>
      <c r="R84" s="114">
        <f>SUM($C$83:R83)</f>
        <v>2496465.2754677869</v>
      </c>
      <c r="S84" s="114">
        <f>SUM($C$83:S83)</f>
        <v>2816224.4658659445</v>
      </c>
      <c r="T84" s="114">
        <f>SUM($C$83:T83)</f>
        <v>3152886.8643364371</v>
      </c>
      <c r="U84" s="114">
        <f>SUM($C$83:U83)</f>
        <v>3506479.9708792642</v>
      </c>
      <c r="V84" s="114">
        <f>SUM($C$83:V83)</f>
        <v>3877059.6188277593</v>
      </c>
      <c r="W84" s="114">
        <f>SUM($C$83:W83)</f>
        <v>4264654.1415152559</v>
      </c>
      <c r="X84" s="114">
        <f>SUM($C$83:X83)</f>
        <v>4669318.955608421</v>
      </c>
      <c r="Y84" s="114">
        <f>SUM($C$83:Y83)</f>
        <v>5091109.8944405876</v>
      </c>
      <c r="Z84" s="114">
        <f>SUM($C$83:Z83)</f>
        <v>5530110.2913450887</v>
      </c>
      <c r="AA84" s="114">
        <f>SUM($C$83:AA83)</f>
        <v>5986375.9796552574</v>
      </c>
    </row>
    <row r="85" spans="2:27" ht="15.5" x14ac:dyDescent="0.35">
      <c r="B85" s="110" t="s">
        <v>874</v>
      </c>
    </row>
    <row r="86" spans="2:27" ht="7" customHeight="1" x14ac:dyDescent="0.35">
      <c r="B86" s="113"/>
    </row>
    <row r="87" spans="2:27" x14ac:dyDescent="0.35">
      <c r="C87" s="111">
        <f t="shared" ref="C87:AA87" si="139">C47</f>
        <v>42766</v>
      </c>
      <c r="D87" s="111">
        <f t="shared" si="139"/>
        <v>42794</v>
      </c>
      <c r="E87" s="111">
        <f t="shared" si="139"/>
        <v>42825</v>
      </c>
      <c r="F87" s="111">
        <f t="shared" si="139"/>
        <v>42855</v>
      </c>
      <c r="G87" s="111">
        <f t="shared" si="139"/>
        <v>42886</v>
      </c>
      <c r="H87" s="111">
        <f t="shared" si="139"/>
        <v>42916</v>
      </c>
      <c r="I87" s="111">
        <f t="shared" si="139"/>
        <v>42947</v>
      </c>
      <c r="J87" s="111">
        <f t="shared" si="139"/>
        <v>42978</v>
      </c>
      <c r="K87" s="111">
        <f t="shared" si="139"/>
        <v>43008</v>
      </c>
      <c r="L87" s="111">
        <f t="shared" si="139"/>
        <v>43039</v>
      </c>
      <c r="M87" s="111">
        <f t="shared" si="139"/>
        <v>43069</v>
      </c>
      <c r="N87" s="111">
        <f t="shared" si="139"/>
        <v>43100</v>
      </c>
      <c r="O87" s="111">
        <f t="shared" si="139"/>
        <v>43131</v>
      </c>
      <c r="P87" s="111">
        <f t="shared" si="139"/>
        <v>43159</v>
      </c>
      <c r="Q87" s="111">
        <f t="shared" si="139"/>
        <v>43190</v>
      </c>
      <c r="R87" s="111">
        <f t="shared" si="139"/>
        <v>43220</v>
      </c>
      <c r="S87" s="111">
        <f t="shared" si="139"/>
        <v>43251</v>
      </c>
      <c r="T87" s="111">
        <f t="shared" si="139"/>
        <v>43281</v>
      </c>
      <c r="U87" s="111">
        <f t="shared" si="139"/>
        <v>43312</v>
      </c>
      <c r="V87" s="111">
        <f t="shared" si="139"/>
        <v>43343</v>
      </c>
      <c r="W87" s="111">
        <f t="shared" si="139"/>
        <v>43373</v>
      </c>
      <c r="X87" s="111">
        <f t="shared" si="139"/>
        <v>43404</v>
      </c>
      <c r="Y87" s="111">
        <f t="shared" si="139"/>
        <v>43434</v>
      </c>
      <c r="Z87" s="111">
        <f t="shared" si="139"/>
        <v>43465</v>
      </c>
      <c r="AA87" s="111">
        <f t="shared" si="139"/>
        <v>43496</v>
      </c>
    </row>
    <row r="88" spans="2:27" x14ac:dyDescent="0.35">
      <c r="B88" s="6" t="str">
        <f>B22</f>
        <v>AdWords</v>
      </c>
      <c r="C88" s="8">
        <f t="shared" ref="C88:AA88" si="140">$C22</f>
        <v>2000</v>
      </c>
      <c r="D88" s="8">
        <f t="shared" si="140"/>
        <v>2000</v>
      </c>
      <c r="E88" s="8">
        <f t="shared" si="140"/>
        <v>2000</v>
      </c>
      <c r="F88" s="8">
        <f t="shared" si="140"/>
        <v>2000</v>
      </c>
      <c r="G88" s="8">
        <f t="shared" si="140"/>
        <v>2000</v>
      </c>
      <c r="H88" s="8">
        <f t="shared" si="140"/>
        <v>2000</v>
      </c>
      <c r="I88" s="8">
        <f t="shared" si="140"/>
        <v>2000</v>
      </c>
      <c r="J88" s="8">
        <f t="shared" si="140"/>
        <v>2000</v>
      </c>
      <c r="K88" s="8">
        <f t="shared" si="140"/>
        <v>2000</v>
      </c>
      <c r="L88" s="8">
        <f t="shared" si="140"/>
        <v>2000</v>
      </c>
      <c r="M88" s="8">
        <f t="shared" si="140"/>
        <v>2000</v>
      </c>
      <c r="N88" s="8">
        <f t="shared" si="140"/>
        <v>2000</v>
      </c>
      <c r="O88" s="8">
        <f t="shared" si="140"/>
        <v>2000</v>
      </c>
      <c r="P88" s="8">
        <f t="shared" si="140"/>
        <v>2000</v>
      </c>
      <c r="Q88" s="8">
        <f t="shared" si="140"/>
        <v>2000</v>
      </c>
      <c r="R88" s="8">
        <f t="shared" si="140"/>
        <v>2000</v>
      </c>
      <c r="S88" s="8">
        <f t="shared" si="140"/>
        <v>2000</v>
      </c>
      <c r="T88" s="8">
        <f t="shared" si="140"/>
        <v>2000</v>
      </c>
      <c r="U88" s="8">
        <f t="shared" si="140"/>
        <v>2000</v>
      </c>
      <c r="V88" s="8">
        <f t="shared" si="140"/>
        <v>2000</v>
      </c>
      <c r="W88" s="8">
        <f t="shared" si="140"/>
        <v>2000</v>
      </c>
      <c r="X88" s="8">
        <f t="shared" si="140"/>
        <v>2000</v>
      </c>
      <c r="Y88" s="8">
        <f t="shared" si="140"/>
        <v>2000</v>
      </c>
      <c r="Z88" s="8">
        <f t="shared" si="140"/>
        <v>2000</v>
      </c>
      <c r="AA88" s="8">
        <f t="shared" si="140"/>
        <v>2000</v>
      </c>
    </row>
    <row r="89" spans="2:27" x14ac:dyDescent="0.35">
      <c r="B89" s="6" t="str">
        <f>B23</f>
        <v>Facebook Ad</v>
      </c>
      <c r="C89" s="29">
        <f t="shared" ref="C89:AA89" si="141">$C23</f>
        <v>4000</v>
      </c>
      <c r="D89" s="29">
        <f t="shared" si="141"/>
        <v>4000</v>
      </c>
      <c r="E89" s="29">
        <f t="shared" si="141"/>
        <v>4000</v>
      </c>
      <c r="F89" s="29">
        <f t="shared" si="141"/>
        <v>4000</v>
      </c>
      <c r="G89" s="29">
        <f t="shared" si="141"/>
        <v>4000</v>
      </c>
      <c r="H89" s="29">
        <f t="shared" si="141"/>
        <v>4000</v>
      </c>
      <c r="I89" s="29">
        <f t="shared" si="141"/>
        <v>4000</v>
      </c>
      <c r="J89" s="29">
        <f t="shared" si="141"/>
        <v>4000</v>
      </c>
      <c r="K89" s="29">
        <f t="shared" si="141"/>
        <v>4000</v>
      </c>
      <c r="L89" s="29">
        <f t="shared" si="141"/>
        <v>4000</v>
      </c>
      <c r="M89" s="29">
        <f t="shared" si="141"/>
        <v>4000</v>
      </c>
      <c r="N89" s="29">
        <f t="shared" si="141"/>
        <v>4000</v>
      </c>
      <c r="O89" s="29">
        <f t="shared" si="141"/>
        <v>4000</v>
      </c>
      <c r="P89" s="29">
        <f t="shared" si="141"/>
        <v>4000</v>
      </c>
      <c r="Q89" s="29">
        <f t="shared" si="141"/>
        <v>4000</v>
      </c>
      <c r="R89" s="29">
        <f t="shared" si="141"/>
        <v>4000</v>
      </c>
      <c r="S89" s="29">
        <f t="shared" si="141"/>
        <v>4000</v>
      </c>
      <c r="T89" s="29">
        <f t="shared" si="141"/>
        <v>4000</v>
      </c>
      <c r="U89" s="29">
        <f t="shared" si="141"/>
        <v>4000</v>
      </c>
      <c r="V89" s="29">
        <f t="shared" si="141"/>
        <v>4000</v>
      </c>
      <c r="W89" s="29">
        <f t="shared" si="141"/>
        <v>4000</v>
      </c>
      <c r="X89" s="29">
        <f t="shared" si="141"/>
        <v>4000</v>
      </c>
      <c r="Y89" s="29">
        <f t="shared" si="141"/>
        <v>4000</v>
      </c>
      <c r="Z89" s="29">
        <f t="shared" si="141"/>
        <v>4000</v>
      </c>
      <c r="AA89" s="29">
        <f t="shared" si="141"/>
        <v>4000</v>
      </c>
    </row>
    <row r="90" spans="2:27" x14ac:dyDescent="0.35">
      <c r="B90" s="6" t="str">
        <f>B24</f>
        <v>LinkedIn Ad</v>
      </c>
      <c r="C90" s="29">
        <f t="shared" ref="C90:AA90" si="142">$C24</f>
        <v>2000</v>
      </c>
      <c r="D90" s="29">
        <f t="shared" si="142"/>
        <v>2000</v>
      </c>
      <c r="E90" s="29">
        <f t="shared" si="142"/>
        <v>2000</v>
      </c>
      <c r="F90" s="29">
        <f t="shared" si="142"/>
        <v>2000</v>
      </c>
      <c r="G90" s="29">
        <f t="shared" si="142"/>
        <v>2000</v>
      </c>
      <c r="H90" s="29">
        <f t="shared" si="142"/>
        <v>2000</v>
      </c>
      <c r="I90" s="29">
        <f t="shared" si="142"/>
        <v>2000</v>
      </c>
      <c r="J90" s="29">
        <f t="shared" si="142"/>
        <v>2000</v>
      </c>
      <c r="K90" s="29">
        <f t="shared" si="142"/>
        <v>2000</v>
      </c>
      <c r="L90" s="29">
        <f t="shared" si="142"/>
        <v>2000</v>
      </c>
      <c r="M90" s="29">
        <f t="shared" si="142"/>
        <v>2000</v>
      </c>
      <c r="N90" s="29">
        <f t="shared" si="142"/>
        <v>2000</v>
      </c>
      <c r="O90" s="29">
        <f t="shared" si="142"/>
        <v>2000</v>
      </c>
      <c r="P90" s="29">
        <f t="shared" si="142"/>
        <v>2000</v>
      </c>
      <c r="Q90" s="29">
        <f t="shared" si="142"/>
        <v>2000</v>
      </c>
      <c r="R90" s="29">
        <f t="shared" si="142"/>
        <v>2000</v>
      </c>
      <c r="S90" s="29">
        <f t="shared" si="142"/>
        <v>2000</v>
      </c>
      <c r="T90" s="29">
        <f t="shared" si="142"/>
        <v>2000</v>
      </c>
      <c r="U90" s="29">
        <f t="shared" si="142"/>
        <v>2000</v>
      </c>
      <c r="V90" s="29">
        <f t="shared" si="142"/>
        <v>2000</v>
      </c>
      <c r="W90" s="29">
        <f t="shared" si="142"/>
        <v>2000</v>
      </c>
      <c r="X90" s="29">
        <f t="shared" si="142"/>
        <v>2000</v>
      </c>
      <c r="Y90" s="29">
        <f t="shared" si="142"/>
        <v>2000</v>
      </c>
      <c r="Z90" s="29">
        <f t="shared" si="142"/>
        <v>2000</v>
      </c>
      <c r="AA90" s="29">
        <f t="shared" si="142"/>
        <v>2000</v>
      </c>
    </row>
    <row r="91" spans="2:27" x14ac:dyDescent="0.35">
      <c r="B91" s="6" t="str">
        <f>B25</f>
        <v>Instagram</v>
      </c>
      <c r="C91" s="29">
        <f t="shared" ref="C91:AA91" si="143">$C25</f>
        <v>5000</v>
      </c>
      <c r="D91" s="29">
        <f t="shared" si="143"/>
        <v>5000</v>
      </c>
      <c r="E91" s="29">
        <f t="shared" si="143"/>
        <v>5000</v>
      </c>
      <c r="F91" s="29">
        <f t="shared" si="143"/>
        <v>5000</v>
      </c>
      <c r="G91" s="29">
        <f t="shared" si="143"/>
        <v>5000</v>
      </c>
      <c r="H91" s="29">
        <f t="shared" si="143"/>
        <v>5000</v>
      </c>
      <c r="I91" s="29">
        <f t="shared" si="143"/>
        <v>5000</v>
      </c>
      <c r="J91" s="29">
        <f t="shared" si="143"/>
        <v>5000</v>
      </c>
      <c r="K91" s="29">
        <f t="shared" si="143"/>
        <v>5000</v>
      </c>
      <c r="L91" s="29">
        <f t="shared" si="143"/>
        <v>5000</v>
      </c>
      <c r="M91" s="29">
        <f t="shared" si="143"/>
        <v>5000</v>
      </c>
      <c r="N91" s="29">
        <f t="shared" si="143"/>
        <v>5000</v>
      </c>
      <c r="O91" s="29">
        <f t="shared" si="143"/>
        <v>5000</v>
      </c>
      <c r="P91" s="29">
        <f t="shared" si="143"/>
        <v>5000</v>
      </c>
      <c r="Q91" s="29">
        <f t="shared" si="143"/>
        <v>5000</v>
      </c>
      <c r="R91" s="29">
        <f t="shared" si="143"/>
        <v>5000</v>
      </c>
      <c r="S91" s="29">
        <f t="shared" si="143"/>
        <v>5000</v>
      </c>
      <c r="T91" s="29">
        <f t="shared" si="143"/>
        <v>5000</v>
      </c>
      <c r="U91" s="29">
        <f t="shared" si="143"/>
        <v>5000</v>
      </c>
      <c r="V91" s="29">
        <f t="shared" si="143"/>
        <v>5000</v>
      </c>
      <c r="W91" s="29">
        <f t="shared" si="143"/>
        <v>5000</v>
      </c>
      <c r="X91" s="29">
        <f t="shared" si="143"/>
        <v>5000</v>
      </c>
      <c r="Y91" s="29">
        <f t="shared" si="143"/>
        <v>5000</v>
      </c>
      <c r="Z91" s="29">
        <f t="shared" si="143"/>
        <v>5000</v>
      </c>
      <c r="AA91" s="29">
        <f t="shared" si="143"/>
        <v>5000</v>
      </c>
    </row>
    <row r="92" spans="2:27" x14ac:dyDescent="0.35">
      <c r="B92" s="6" t="s">
        <v>854</v>
      </c>
      <c r="C92" s="29">
        <f t="shared" ref="C92:AA92" si="144">IF(Scenario=0,($C$17*$C$18)/12,$C$17/12)</f>
        <v>4583.333333333333</v>
      </c>
      <c r="D92" s="29">
        <f t="shared" si="144"/>
        <v>4583.333333333333</v>
      </c>
      <c r="E92" s="29">
        <f t="shared" si="144"/>
        <v>4583.333333333333</v>
      </c>
      <c r="F92" s="29">
        <f t="shared" si="144"/>
        <v>4583.333333333333</v>
      </c>
      <c r="G92" s="29">
        <f t="shared" si="144"/>
        <v>4583.333333333333</v>
      </c>
      <c r="H92" s="29">
        <f t="shared" si="144"/>
        <v>4583.333333333333</v>
      </c>
      <c r="I92" s="29">
        <f t="shared" si="144"/>
        <v>4583.333333333333</v>
      </c>
      <c r="J92" s="29">
        <f t="shared" si="144"/>
        <v>4583.333333333333</v>
      </c>
      <c r="K92" s="29">
        <f t="shared" si="144"/>
        <v>4583.333333333333</v>
      </c>
      <c r="L92" s="29">
        <f t="shared" si="144"/>
        <v>4583.333333333333</v>
      </c>
      <c r="M92" s="29">
        <f t="shared" si="144"/>
        <v>4583.333333333333</v>
      </c>
      <c r="N92" s="29">
        <f t="shared" si="144"/>
        <v>4583.333333333333</v>
      </c>
      <c r="O92" s="29">
        <f t="shared" si="144"/>
        <v>4583.333333333333</v>
      </c>
      <c r="P92" s="29">
        <f t="shared" si="144"/>
        <v>4583.333333333333</v>
      </c>
      <c r="Q92" s="29">
        <f t="shared" si="144"/>
        <v>4583.333333333333</v>
      </c>
      <c r="R92" s="29">
        <f t="shared" si="144"/>
        <v>4583.333333333333</v>
      </c>
      <c r="S92" s="29">
        <f t="shared" si="144"/>
        <v>4583.333333333333</v>
      </c>
      <c r="T92" s="29">
        <f t="shared" si="144"/>
        <v>4583.333333333333</v>
      </c>
      <c r="U92" s="29">
        <f t="shared" si="144"/>
        <v>4583.333333333333</v>
      </c>
      <c r="V92" s="29">
        <f t="shared" si="144"/>
        <v>4583.333333333333</v>
      </c>
      <c r="W92" s="29">
        <f t="shared" si="144"/>
        <v>4583.333333333333</v>
      </c>
      <c r="X92" s="29">
        <f t="shared" si="144"/>
        <v>4583.333333333333</v>
      </c>
      <c r="Y92" s="29">
        <f t="shared" si="144"/>
        <v>4583.333333333333</v>
      </c>
      <c r="Z92" s="29">
        <f t="shared" si="144"/>
        <v>4583.333333333333</v>
      </c>
      <c r="AA92" s="29">
        <f t="shared" si="144"/>
        <v>4583.333333333333</v>
      </c>
    </row>
    <row r="93" spans="2:27" x14ac:dyDescent="0.35">
      <c r="B93" s="6" t="s">
        <v>855</v>
      </c>
      <c r="C93" s="53">
        <f t="shared" ref="C93:AA93" si="145">$C$19</f>
        <v>250</v>
      </c>
      <c r="D93" s="53">
        <f t="shared" si="145"/>
        <v>250</v>
      </c>
      <c r="E93" s="53">
        <f t="shared" si="145"/>
        <v>250</v>
      </c>
      <c r="F93" s="53">
        <f t="shared" si="145"/>
        <v>250</v>
      </c>
      <c r="G93" s="53">
        <f t="shared" si="145"/>
        <v>250</v>
      </c>
      <c r="H93" s="53">
        <f t="shared" si="145"/>
        <v>250</v>
      </c>
      <c r="I93" s="53">
        <f t="shared" si="145"/>
        <v>250</v>
      </c>
      <c r="J93" s="53">
        <f t="shared" si="145"/>
        <v>250</v>
      </c>
      <c r="K93" s="53">
        <f t="shared" si="145"/>
        <v>250</v>
      </c>
      <c r="L93" s="53">
        <f t="shared" si="145"/>
        <v>250</v>
      </c>
      <c r="M93" s="53">
        <f t="shared" si="145"/>
        <v>250</v>
      </c>
      <c r="N93" s="53">
        <f t="shared" si="145"/>
        <v>250</v>
      </c>
      <c r="O93" s="53">
        <f t="shared" si="145"/>
        <v>250</v>
      </c>
      <c r="P93" s="53">
        <f t="shared" si="145"/>
        <v>250</v>
      </c>
      <c r="Q93" s="53">
        <f t="shared" si="145"/>
        <v>250</v>
      </c>
      <c r="R93" s="53">
        <f t="shared" si="145"/>
        <v>250</v>
      </c>
      <c r="S93" s="53">
        <f t="shared" si="145"/>
        <v>250</v>
      </c>
      <c r="T93" s="53">
        <f t="shared" si="145"/>
        <v>250</v>
      </c>
      <c r="U93" s="53">
        <f t="shared" si="145"/>
        <v>250</v>
      </c>
      <c r="V93" s="53">
        <f t="shared" si="145"/>
        <v>250</v>
      </c>
      <c r="W93" s="53">
        <f t="shared" si="145"/>
        <v>250</v>
      </c>
      <c r="X93" s="53">
        <f t="shared" si="145"/>
        <v>250</v>
      </c>
      <c r="Y93" s="53">
        <f t="shared" si="145"/>
        <v>250</v>
      </c>
      <c r="Z93" s="53">
        <f t="shared" si="145"/>
        <v>250</v>
      </c>
      <c r="AA93" s="53">
        <f t="shared" si="145"/>
        <v>250</v>
      </c>
    </row>
    <row r="94" spans="2:27" x14ac:dyDescent="0.35">
      <c r="B94" s="117" t="s">
        <v>875</v>
      </c>
      <c r="C94" s="80">
        <f t="shared" ref="C94:AA94" si="146">SUM(C88:C93)</f>
        <v>17833.333333333332</v>
      </c>
      <c r="D94" s="80">
        <f t="shared" si="146"/>
        <v>17833.333333333332</v>
      </c>
      <c r="E94" s="80">
        <f t="shared" si="146"/>
        <v>17833.333333333332</v>
      </c>
      <c r="F94" s="80">
        <f t="shared" si="146"/>
        <v>17833.333333333332</v>
      </c>
      <c r="G94" s="80">
        <f t="shared" si="146"/>
        <v>17833.333333333332</v>
      </c>
      <c r="H94" s="80">
        <f t="shared" si="146"/>
        <v>17833.333333333332</v>
      </c>
      <c r="I94" s="80">
        <f t="shared" si="146"/>
        <v>17833.333333333332</v>
      </c>
      <c r="J94" s="80">
        <f t="shared" si="146"/>
        <v>17833.333333333332</v>
      </c>
      <c r="K94" s="80">
        <f t="shared" si="146"/>
        <v>17833.333333333332</v>
      </c>
      <c r="L94" s="80">
        <f t="shared" si="146"/>
        <v>17833.333333333332</v>
      </c>
      <c r="M94" s="80">
        <f t="shared" si="146"/>
        <v>17833.333333333332</v>
      </c>
      <c r="N94" s="80">
        <f t="shared" si="146"/>
        <v>17833.333333333332</v>
      </c>
      <c r="O94" s="80">
        <f t="shared" si="146"/>
        <v>17833.333333333332</v>
      </c>
      <c r="P94" s="80">
        <f t="shared" si="146"/>
        <v>17833.333333333332</v>
      </c>
      <c r="Q94" s="80">
        <f t="shared" si="146"/>
        <v>17833.333333333332</v>
      </c>
      <c r="R94" s="80">
        <f t="shared" si="146"/>
        <v>17833.333333333332</v>
      </c>
      <c r="S94" s="80">
        <f t="shared" si="146"/>
        <v>17833.333333333332</v>
      </c>
      <c r="T94" s="80">
        <f t="shared" si="146"/>
        <v>17833.333333333332</v>
      </c>
      <c r="U94" s="80">
        <f t="shared" si="146"/>
        <v>17833.333333333332</v>
      </c>
      <c r="V94" s="80">
        <f t="shared" si="146"/>
        <v>17833.333333333332</v>
      </c>
      <c r="W94" s="80">
        <f t="shared" si="146"/>
        <v>17833.333333333332</v>
      </c>
      <c r="X94" s="80">
        <f t="shared" si="146"/>
        <v>17833.333333333332</v>
      </c>
      <c r="Y94" s="80">
        <f t="shared" si="146"/>
        <v>17833.333333333332</v>
      </c>
      <c r="Z94" s="80">
        <f t="shared" si="146"/>
        <v>17833.333333333332</v>
      </c>
      <c r="AA94" s="80">
        <f t="shared" si="146"/>
        <v>17833.333333333332</v>
      </c>
    </row>
    <row r="95" spans="2:27" x14ac:dyDescent="0.35">
      <c r="B95" s="109" t="s">
        <v>865</v>
      </c>
      <c r="C95" s="114">
        <f>SUM($C$94:C94)</f>
        <v>17833.333333333332</v>
      </c>
      <c r="D95" s="114">
        <f>SUM($C$94:D94)</f>
        <v>35666.666666666664</v>
      </c>
      <c r="E95" s="114">
        <f>SUM($C$94:E94)</f>
        <v>53500</v>
      </c>
      <c r="F95" s="114">
        <f>SUM($C$94:F94)</f>
        <v>71333.333333333328</v>
      </c>
      <c r="G95" s="114">
        <f>SUM($C$94:G94)</f>
        <v>89166.666666666657</v>
      </c>
      <c r="H95" s="114">
        <f>SUM($C$94:H94)</f>
        <v>106999.99999999999</v>
      </c>
      <c r="I95" s="114">
        <f>SUM($C$94:I94)</f>
        <v>124833.33333333331</v>
      </c>
      <c r="J95" s="114">
        <f>SUM($C$94:J94)</f>
        <v>142666.66666666666</v>
      </c>
      <c r="K95" s="114">
        <f>SUM($C$94:K94)</f>
        <v>160500</v>
      </c>
      <c r="L95" s="114">
        <f>SUM($C$94:L94)</f>
        <v>178333.33333333334</v>
      </c>
      <c r="M95" s="114">
        <f>SUM($C$94:M94)</f>
        <v>196166.66666666669</v>
      </c>
      <c r="N95" s="114">
        <f>SUM($C$94:N94)</f>
        <v>214000.00000000003</v>
      </c>
      <c r="O95" s="114">
        <f>SUM($C$94:O94)</f>
        <v>231833.33333333337</v>
      </c>
      <c r="P95" s="114">
        <f>SUM($C$94:P94)</f>
        <v>249666.66666666672</v>
      </c>
      <c r="Q95" s="114">
        <f>SUM($C$94:Q94)</f>
        <v>267500.00000000006</v>
      </c>
      <c r="R95" s="114">
        <f>SUM($C$94:R94)</f>
        <v>285333.33333333337</v>
      </c>
      <c r="S95" s="114">
        <f>SUM($C$94:S94)</f>
        <v>303166.66666666669</v>
      </c>
      <c r="T95" s="114">
        <f>SUM($C$94:T94)</f>
        <v>321000</v>
      </c>
      <c r="U95" s="114">
        <f>SUM($C$94:U94)</f>
        <v>338833.33333333331</v>
      </c>
      <c r="V95" s="114">
        <f>SUM($C$94:V94)</f>
        <v>356666.66666666663</v>
      </c>
      <c r="W95" s="114">
        <f>SUM($C$94:W94)</f>
        <v>374499.99999999994</v>
      </c>
      <c r="X95" s="114">
        <f>SUM($C$94:X94)</f>
        <v>392333.33333333326</v>
      </c>
      <c r="Y95" s="114">
        <f>SUM($C$94:Y94)</f>
        <v>410166.66666666657</v>
      </c>
      <c r="Z95" s="114">
        <f>SUM($C$94:Z94)</f>
        <v>427999.99999999988</v>
      </c>
      <c r="AA95" s="114">
        <f>SUM($C$94:AA94)</f>
        <v>445833.3333333332</v>
      </c>
    </row>
    <row r="97" spans="2:27" x14ac:dyDescent="0.35">
      <c r="B97" s="105" t="s">
        <v>886</v>
      </c>
      <c r="C97" s="81">
        <f t="shared" ref="C97:AA97" si="147">C83-C94</f>
        <v>-17833.333333333332</v>
      </c>
      <c r="D97" s="81">
        <f t="shared" si="147"/>
        <v>3125.4951201793519</v>
      </c>
      <c r="E97" s="81">
        <f t="shared" si="147"/>
        <v>24084.323573692036</v>
      </c>
      <c r="F97" s="81">
        <f t="shared" si="147"/>
        <v>45071.068693871377</v>
      </c>
      <c r="G97" s="81">
        <f t="shared" si="147"/>
        <v>66057.813814050736</v>
      </c>
      <c r="H97" s="81">
        <f t="shared" si="147"/>
        <v>87044.558934230066</v>
      </c>
      <c r="I97" s="81">
        <f t="shared" si="147"/>
        <v>108059.22072107607</v>
      </c>
      <c r="J97" s="81">
        <f t="shared" si="147"/>
        <v>129073.88250792208</v>
      </c>
      <c r="K97" s="81">
        <f t="shared" si="147"/>
        <v>150143.96096143476</v>
      </c>
      <c r="L97" s="81">
        <f t="shared" si="147"/>
        <v>171241.9560816141</v>
      </c>
      <c r="M97" s="81">
        <f t="shared" si="147"/>
        <v>192339.95120179345</v>
      </c>
      <c r="N97" s="81">
        <f t="shared" si="147"/>
        <v>213465.86298863945</v>
      </c>
      <c r="O97" s="81">
        <f t="shared" si="147"/>
        <v>234619.69144215214</v>
      </c>
      <c r="P97" s="81">
        <f t="shared" si="147"/>
        <v>251383.73284782018</v>
      </c>
      <c r="Q97" s="81">
        <f t="shared" si="147"/>
        <v>268203.19092015491</v>
      </c>
      <c r="R97" s="81">
        <f t="shared" si="147"/>
        <v>285050.5656591563</v>
      </c>
      <c r="S97" s="81">
        <f t="shared" si="147"/>
        <v>301925.85706482443</v>
      </c>
      <c r="T97" s="81">
        <f t="shared" si="147"/>
        <v>318829.06513715914</v>
      </c>
      <c r="U97" s="81">
        <f t="shared" si="147"/>
        <v>335759.77320949396</v>
      </c>
      <c r="V97" s="81">
        <f t="shared" si="147"/>
        <v>352746.31461516197</v>
      </c>
      <c r="W97" s="81">
        <f t="shared" si="147"/>
        <v>369761.18935416336</v>
      </c>
      <c r="X97" s="81">
        <f t="shared" si="147"/>
        <v>386831.48075983144</v>
      </c>
      <c r="Y97" s="81">
        <f t="shared" si="147"/>
        <v>403957.60549883288</v>
      </c>
      <c r="Z97" s="81">
        <f t="shared" si="147"/>
        <v>421167.06357116759</v>
      </c>
      <c r="AA97" s="81">
        <f t="shared" si="147"/>
        <v>438432.35497683572</v>
      </c>
    </row>
    <row r="98" spans="2:27" x14ac:dyDescent="0.35">
      <c r="B98" s="115" t="s">
        <v>887</v>
      </c>
      <c r="C98" s="118">
        <f t="shared" ref="C98:AA98" si="148">C84-C95</f>
        <v>-17833.333333333332</v>
      </c>
      <c r="D98" s="118">
        <f t="shared" si="148"/>
        <v>-14707.83821315398</v>
      </c>
      <c r="E98" s="118">
        <f t="shared" si="148"/>
        <v>9376.4853605380486</v>
      </c>
      <c r="F98" s="118">
        <f t="shared" si="148"/>
        <v>54447.554054409426</v>
      </c>
      <c r="G98" s="118">
        <f t="shared" si="148"/>
        <v>120505.36786846016</v>
      </c>
      <c r="H98" s="118">
        <f t="shared" si="148"/>
        <v>207549.9268026902</v>
      </c>
      <c r="I98" s="118">
        <f t="shared" si="148"/>
        <v>315609.14752376627</v>
      </c>
      <c r="J98" s="118">
        <f t="shared" si="148"/>
        <v>444683.03003168839</v>
      </c>
      <c r="K98" s="118">
        <f t="shared" si="148"/>
        <v>594826.99099312315</v>
      </c>
      <c r="L98" s="118">
        <f t="shared" si="148"/>
        <v>766068.94707473728</v>
      </c>
      <c r="M98" s="118">
        <f t="shared" si="148"/>
        <v>958408.89827653067</v>
      </c>
      <c r="N98" s="118">
        <f t="shared" si="148"/>
        <v>1171874.7612651703</v>
      </c>
      <c r="O98" s="118">
        <f t="shared" si="148"/>
        <v>1406494.4527073223</v>
      </c>
      <c r="P98" s="118">
        <f t="shared" si="148"/>
        <v>1657878.1855551426</v>
      </c>
      <c r="Q98" s="118">
        <f t="shared" si="148"/>
        <v>1926081.3764752974</v>
      </c>
      <c r="R98" s="118">
        <f t="shared" si="148"/>
        <v>2211131.9421344534</v>
      </c>
      <c r="S98" s="118">
        <f t="shared" si="148"/>
        <v>2513057.799199278</v>
      </c>
      <c r="T98" s="118">
        <f t="shared" si="148"/>
        <v>2831886.8643364371</v>
      </c>
      <c r="U98" s="118">
        <f t="shared" si="148"/>
        <v>3167646.6375459307</v>
      </c>
      <c r="V98" s="118">
        <f t="shared" si="148"/>
        <v>3520392.9521610928</v>
      </c>
      <c r="W98" s="118">
        <f t="shared" si="148"/>
        <v>3890154.1415152559</v>
      </c>
      <c r="X98" s="118">
        <f t="shared" si="148"/>
        <v>4276985.622275088</v>
      </c>
      <c r="Y98" s="118">
        <f t="shared" si="148"/>
        <v>4680943.2277739206</v>
      </c>
      <c r="Z98" s="118">
        <f t="shared" si="148"/>
        <v>5102110.2913450887</v>
      </c>
      <c r="AA98" s="118">
        <f t="shared" si="148"/>
        <v>5540542.6463219244</v>
      </c>
    </row>
    <row r="99" spans="2:27" x14ac:dyDescent="0.35">
      <c r="B99" s="109" t="s">
        <v>885</v>
      </c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  <c r="AA99" s="115"/>
    </row>
    <row r="100" spans="2:27" ht="15.5" x14ac:dyDescent="0.35">
      <c r="B100" s="110" t="s">
        <v>884</v>
      </c>
    </row>
    <row r="101" spans="2:27" x14ac:dyDescent="0.35">
      <c r="C101" s="14"/>
    </row>
    <row r="102" spans="2:27" x14ac:dyDescent="0.35">
      <c r="B102" s="93" t="s">
        <v>871</v>
      </c>
      <c r="C102" s="134">
        <f>(AA84-AA95)/AA95</f>
        <v>12.427385374927685</v>
      </c>
    </row>
    <row r="103" spans="2:27" x14ac:dyDescent="0.35">
      <c r="B103" s="93" t="s">
        <v>885</v>
      </c>
      <c r="C103" s="10">
        <f>IF(C104&lt;0,1,IF(C98&lt;0,1,0))</f>
        <v>1</v>
      </c>
    </row>
    <row r="104" spans="2:27" x14ac:dyDescent="0.35">
      <c r="B104" s="93" t="s">
        <v>892</v>
      </c>
      <c r="C104" s="12">
        <f>AA84</f>
        <v>5986375.9796552574</v>
      </c>
    </row>
    <row r="105" spans="2:27" x14ac:dyDescent="0.35">
      <c r="B105" s="93" t="s">
        <v>887</v>
      </c>
      <c r="C105" s="12">
        <f>AA98</f>
        <v>5540542.6463219244</v>
      </c>
    </row>
    <row r="106" spans="2:27" x14ac:dyDescent="0.35">
      <c r="B106" s="93" t="s">
        <v>888</v>
      </c>
      <c r="C106" s="31">
        <f>SUM(C49:AA49,C54:AA54,C59:AA59,C64:AA64,C69:AA69,C74:AA74,C79:AA79)</f>
        <v>18972.840576445138</v>
      </c>
    </row>
    <row r="107" spans="2:27" x14ac:dyDescent="0.35">
      <c r="C107" s="135" t="s">
        <v>858</v>
      </c>
      <c r="D107" s="135" t="s">
        <v>891</v>
      </c>
    </row>
    <row r="108" spans="2:27" x14ac:dyDescent="0.35">
      <c r="B108" s="93" t="s">
        <v>31</v>
      </c>
      <c r="C108" s="31">
        <v>20078.329097342492</v>
      </c>
      <c r="D108" s="134">
        <v>0.09</v>
      </c>
    </row>
    <row r="109" spans="2:27" x14ac:dyDescent="0.35">
      <c r="B109" s="93" t="s">
        <v>852</v>
      </c>
      <c r="C109" s="31">
        <v>4177.0519162320061</v>
      </c>
      <c r="D109" s="134">
        <v>0.09</v>
      </c>
    </row>
    <row r="110" spans="2:27" x14ac:dyDescent="0.35">
      <c r="B110" s="93" t="s">
        <v>890</v>
      </c>
      <c r="C110" s="31">
        <v>1503.1058031895479</v>
      </c>
      <c r="D110" s="134">
        <v>0.09</v>
      </c>
    </row>
    <row r="111" spans="2:27" x14ac:dyDescent="0.35">
      <c r="C111" s="146" t="s">
        <v>871</v>
      </c>
      <c r="D111" s="146" t="s">
        <v>868</v>
      </c>
      <c r="E111" s="146" t="s">
        <v>870</v>
      </c>
      <c r="F111" s="146" t="s">
        <v>837</v>
      </c>
    </row>
    <row r="112" spans="2:27" hidden="1" x14ac:dyDescent="0.35">
      <c r="C112" s="41">
        <f>C102</f>
        <v>12.427385374927685</v>
      </c>
      <c r="D112" s="8">
        <f>C104</f>
        <v>5986375.9796552574</v>
      </c>
      <c r="E112" s="8">
        <f>C105</f>
        <v>5540542.6463219244</v>
      </c>
      <c r="F112" s="29">
        <f>C106</f>
        <v>18972.840576445138</v>
      </c>
    </row>
    <row r="113" spans="2:8" x14ac:dyDescent="0.35">
      <c r="B113" s="147">
        <v>0</v>
      </c>
      <c r="C113" s="134">
        <v>3.7925957910239063</v>
      </c>
      <c r="D113" s="12">
        <v>1697377.6759876339</v>
      </c>
      <c r="E113" s="12">
        <f>(D113)-SUM(C95:AA95)</f>
        <v>-4098455.6573457001</v>
      </c>
      <c r="F113" s="31">
        <v>4960.4449441049364</v>
      </c>
    </row>
    <row r="114" spans="2:8" x14ac:dyDescent="0.35">
      <c r="B114" s="147">
        <v>1</v>
      </c>
      <c r="C114" s="134">
        <v>12.427385374927685</v>
      </c>
      <c r="D114" s="12">
        <v>5986375.9796552574</v>
      </c>
      <c r="E114" s="12">
        <f>(D114)-SUM(C95:AA95)</f>
        <v>190542.64632192347</v>
      </c>
      <c r="F114" s="31">
        <v>18972.840576445138</v>
      </c>
    </row>
    <row r="115" spans="2:8" s="145" customFormat="1" x14ac:dyDescent="0.35">
      <c r="B115" s="181" t="s">
        <v>1001</v>
      </c>
    </row>
    <row r="116" spans="2:8" x14ac:dyDescent="0.35">
      <c r="B116" s="141"/>
      <c r="C116" s="141"/>
      <c r="D116" s="144" t="s">
        <v>894</v>
      </c>
      <c r="E116" s="142"/>
      <c r="F116" s="142"/>
      <c r="G116" s="142"/>
      <c r="H116" s="142"/>
    </row>
    <row r="117" spans="2:8" x14ac:dyDescent="0.35">
      <c r="B117" s="143"/>
      <c r="C117" s="140"/>
      <c r="D117" s="139">
        <f>E117-0.02</f>
        <v>3.9999999999999994E-2</v>
      </c>
      <c r="E117" s="139">
        <f>F117-0.02</f>
        <v>0.06</v>
      </c>
      <c r="F117" s="139">
        <v>0.08</v>
      </c>
      <c r="G117" s="139">
        <f>F117+0.02</f>
        <v>0.1</v>
      </c>
      <c r="H117" s="139">
        <f>G117+0.02</f>
        <v>0.12000000000000001</v>
      </c>
    </row>
    <row r="118" spans="2:8" ht="15" customHeight="1" x14ac:dyDescent="0.35">
      <c r="B118" s="334" t="s">
        <v>895</v>
      </c>
      <c r="C118" s="139">
        <f>C119-0.02</f>
        <v>3.9999999999999994E-2</v>
      </c>
      <c r="D118" s="137"/>
      <c r="E118" s="137"/>
      <c r="F118" s="137"/>
      <c r="G118" s="137"/>
      <c r="H118" s="137"/>
    </row>
    <row r="119" spans="2:8" x14ac:dyDescent="0.35">
      <c r="B119" s="334"/>
      <c r="C119" s="139">
        <f>C120-0.02</f>
        <v>0.06</v>
      </c>
      <c r="D119" s="137"/>
      <c r="E119" s="137"/>
      <c r="F119" s="137"/>
      <c r="G119" s="137"/>
      <c r="H119" s="137"/>
    </row>
    <row r="120" spans="2:8" x14ac:dyDescent="0.35">
      <c r="B120" s="334"/>
      <c r="C120" s="139">
        <v>0.08</v>
      </c>
      <c r="D120" s="137"/>
      <c r="E120" s="137"/>
      <c r="F120" s="137"/>
      <c r="G120" s="137"/>
      <c r="H120" s="137"/>
    </row>
    <row r="121" spans="2:8" x14ac:dyDescent="0.35">
      <c r="B121" s="334"/>
      <c r="C121" s="139">
        <f>C120+0.02</f>
        <v>0.1</v>
      </c>
      <c r="D121" s="137"/>
      <c r="E121" s="137"/>
      <c r="F121" s="137"/>
      <c r="G121" s="137"/>
      <c r="H121" s="137"/>
    </row>
    <row r="122" spans="2:8" x14ac:dyDescent="0.35">
      <c r="B122" s="334"/>
      <c r="C122" s="139">
        <f>C121+0.02</f>
        <v>0.12000000000000001</v>
      </c>
      <c r="D122" s="137"/>
      <c r="E122" s="137"/>
      <c r="F122" s="137"/>
      <c r="G122" s="137"/>
      <c r="H122" s="137"/>
    </row>
    <row r="124" spans="2:8" x14ac:dyDescent="0.35">
      <c r="B124" s="181" t="s">
        <v>953</v>
      </c>
    </row>
    <row r="125" spans="2:8" x14ac:dyDescent="0.35">
      <c r="B125" s="141"/>
      <c r="C125" s="141"/>
      <c r="D125" s="144" t="s">
        <v>897</v>
      </c>
      <c r="E125" s="142"/>
      <c r="F125" s="142"/>
      <c r="G125" s="142"/>
      <c r="H125" s="142"/>
    </row>
    <row r="126" spans="2:8" x14ac:dyDescent="0.35">
      <c r="B126" s="143"/>
      <c r="C126" s="140"/>
      <c r="D126" s="139">
        <f>E126-0.01</f>
        <v>9.9999999999999967E-3</v>
      </c>
      <c r="E126" s="139">
        <f>F126-0.01</f>
        <v>1.9999999999999997E-2</v>
      </c>
      <c r="F126" s="139">
        <v>0.03</v>
      </c>
      <c r="G126" s="139">
        <f>F126+0.01</f>
        <v>0.04</v>
      </c>
      <c r="H126" s="139">
        <f>G126+0.01</f>
        <v>0.05</v>
      </c>
    </row>
    <row r="127" spans="2:8" ht="15" customHeight="1" x14ac:dyDescent="0.35">
      <c r="B127" s="334" t="s">
        <v>896</v>
      </c>
      <c r="C127" s="139">
        <f>C128-0.01</f>
        <v>0</v>
      </c>
      <c r="D127" s="137"/>
      <c r="E127" s="137"/>
      <c r="F127" s="137"/>
      <c r="G127" s="137"/>
      <c r="H127" s="137"/>
    </row>
    <row r="128" spans="2:8" x14ac:dyDescent="0.35">
      <c r="B128" s="334"/>
      <c r="C128" s="139">
        <f>C129-0.01</f>
        <v>0.01</v>
      </c>
      <c r="D128" s="137"/>
      <c r="E128" s="137"/>
      <c r="F128" s="137"/>
      <c r="G128" s="137"/>
      <c r="H128" s="137"/>
    </row>
    <row r="129" spans="2:8" x14ac:dyDescent="0.35">
      <c r="B129" s="334"/>
      <c r="C129" s="139">
        <v>0.02</v>
      </c>
      <c r="D129" s="137"/>
      <c r="E129" s="137"/>
      <c r="F129" s="137"/>
      <c r="G129" s="137"/>
      <c r="H129" s="137"/>
    </row>
    <row r="130" spans="2:8" x14ac:dyDescent="0.35">
      <c r="B130" s="334"/>
      <c r="C130" s="139">
        <f>C129+0.01</f>
        <v>0.03</v>
      </c>
      <c r="D130" s="137"/>
      <c r="E130" s="137"/>
      <c r="F130" s="137"/>
      <c r="G130" s="137"/>
      <c r="H130" s="137"/>
    </row>
    <row r="131" spans="2:8" x14ac:dyDescent="0.35">
      <c r="B131" s="334"/>
      <c r="C131" s="139">
        <f>C130+0.01</f>
        <v>0.04</v>
      </c>
      <c r="D131" s="137"/>
      <c r="E131" s="137"/>
      <c r="F131" s="137"/>
      <c r="G131" s="137"/>
      <c r="H131" s="137"/>
    </row>
  </sheetData>
  <mergeCells count="2">
    <mergeCell ref="B118:B122"/>
    <mergeCell ref="B127:B131"/>
  </mergeCells>
  <dataValidations count="1">
    <dataValidation type="list" allowBlank="1" showInputMessage="1" showErrorMessage="1" prompt="0 = No social media manager_x000a_1 = With social media manger" sqref="C15">
      <formula1>"0,1"</formula1>
    </dataValidation>
  </dataValidations>
  <pageMargins left="0.25" right="0.25" top="0.25" bottom="0.25" header="0.3" footer="0.3"/>
  <pageSetup scale="4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C4:Q24"/>
  <sheetViews>
    <sheetView workbookViewId="0">
      <selection activeCell="G22" sqref="G22"/>
    </sheetView>
  </sheetViews>
  <sheetFormatPr defaultRowHeight="14.5" x14ac:dyDescent="0.35"/>
  <cols>
    <col min="3" max="3" width="12.453125" bestFit="1" customWidth="1"/>
    <col min="4" max="4" width="15.26953125" customWidth="1"/>
    <col min="5" max="5" width="23.453125" customWidth="1"/>
    <col min="6" max="6" width="15.26953125" customWidth="1"/>
    <col min="7" max="7" width="8.81640625" customWidth="1"/>
    <col min="8" max="8" width="13.81640625" bestFit="1" customWidth="1"/>
    <col min="9" max="10" width="13.7265625" bestFit="1" customWidth="1"/>
    <col min="11" max="11" width="18.54296875" bestFit="1" customWidth="1"/>
    <col min="12" max="12" width="20" bestFit="1" customWidth="1"/>
    <col min="13" max="13" width="21.08984375" bestFit="1" customWidth="1"/>
    <col min="14" max="14" width="20" bestFit="1" customWidth="1"/>
    <col min="15" max="15" width="21.08984375" bestFit="1" customWidth="1"/>
    <col min="16" max="16" width="24.81640625" bestFit="1" customWidth="1"/>
    <col min="17" max="17" width="25.90625" bestFit="1" customWidth="1"/>
  </cols>
  <sheetData>
    <row r="4" spans="3:17" x14ac:dyDescent="0.35">
      <c r="D4" s="7" t="s">
        <v>1014</v>
      </c>
      <c r="L4" s="7" t="s">
        <v>1014</v>
      </c>
    </row>
    <row r="5" spans="3:17" x14ac:dyDescent="0.35">
      <c r="D5" s="317" t="s">
        <v>791</v>
      </c>
      <c r="E5" s="317"/>
      <c r="F5" s="317" t="s">
        <v>1031</v>
      </c>
      <c r="G5" s="317"/>
      <c r="H5" s="145" t="s">
        <v>1015</v>
      </c>
      <c r="I5" s="145" t="s">
        <v>1032</v>
      </c>
      <c r="L5" s="317" t="s">
        <v>1033</v>
      </c>
      <c r="M5" s="317"/>
      <c r="N5" s="317" t="s">
        <v>1034</v>
      </c>
      <c r="O5" s="317"/>
      <c r="P5" s="145" t="s">
        <v>1035</v>
      </c>
      <c r="Q5" s="145" t="s">
        <v>1036</v>
      </c>
    </row>
    <row r="6" spans="3:17" x14ac:dyDescent="0.35">
      <c r="C6" s="7" t="s">
        <v>1011</v>
      </c>
      <c r="D6" s="317" t="s">
        <v>20</v>
      </c>
      <c r="E6" s="317" t="s">
        <v>31</v>
      </c>
      <c r="F6" s="317" t="s">
        <v>20</v>
      </c>
      <c r="G6" s="317" t="s">
        <v>31</v>
      </c>
      <c r="K6" s="7" t="s">
        <v>1011</v>
      </c>
      <c r="L6" s="317" t="s">
        <v>20</v>
      </c>
      <c r="M6" s="317" t="s">
        <v>31</v>
      </c>
      <c r="N6" s="317" t="s">
        <v>20</v>
      </c>
      <c r="O6" s="317" t="s">
        <v>31</v>
      </c>
    </row>
    <row r="7" spans="3:17" x14ac:dyDescent="0.35">
      <c r="C7" s="6">
        <v>0</v>
      </c>
      <c r="D7" s="318">
        <v>0</v>
      </c>
      <c r="E7" s="318"/>
      <c r="F7" s="319">
        <v>0</v>
      </c>
      <c r="G7" s="319">
        <v>0</v>
      </c>
      <c r="H7" s="3">
        <v>0</v>
      </c>
      <c r="I7" s="58">
        <v>0</v>
      </c>
      <c r="K7" s="6" t="s">
        <v>799</v>
      </c>
      <c r="L7" s="318">
        <v>18</v>
      </c>
      <c r="M7" s="318">
        <v>15</v>
      </c>
      <c r="N7" s="319">
        <v>0.2</v>
      </c>
      <c r="O7" s="319">
        <v>0.14705882352941177</v>
      </c>
      <c r="P7" s="3">
        <v>33</v>
      </c>
      <c r="Q7" s="58">
        <v>0.171875</v>
      </c>
    </row>
    <row r="8" spans="3:17" x14ac:dyDescent="0.35">
      <c r="C8" s="6">
        <v>1</v>
      </c>
      <c r="D8" s="318">
        <v>1</v>
      </c>
      <c r="E8" s="318"/>
      <c r="F8" s="319">
        <v>1.3831258644536654E-3</v>
      </c>
      <c r="G8" s="319">
        <v>0</v>
      </c>
      <c r="H8" s="3">
        <v>1</v>
      </c>
      <c r="I8" s="58">
        <v>6.3131313131313137E-4</v>
      </c>
      <c r="K8" s="6" t="s">
        <v>800</v>
      </c>
      <c r="L8" s="318">
        <v>13</v>
      </c>
      <c r="M8" s="318">
        <v>8</v>
      </c>
      <c r="N8" s="319">
        <v>0.14444444444444443</v>
      </c>
      <c r="O8" s="319">
        <v>7.8431372549019607E-2</v>
      </c>
      <c r="P8" s="3">
        <v>21</v>
      </c>
      <c r="Q8" s="58">
        <v>0.109375</v>
      </c>
    </row>
    <row r="9" spans="3:17" x14ac:dyDescent="0.35">
      <c r="C9" s="6">
        <v>2</v>
      </c>
      <c r="D9" s="318">
        <v>2</v>
      </c>
      <c r="E9" s="318">
        <v>2</v>
      </c>
      <c r="F9" s="319">
        <v>2.7662517289073307E-3</v>
      </c>
      <c r="G9" s="319">
        <v>2.3228803716608595E-3</v>
      </c>
      <c r="H9" s="3">
        <v>4</v>
      </c>
      <c r="I9" s="58">
        <v>2.5252525252525255E-3</v>
      </c>
      <c r="K9" s="6" t="s">
        <v>997</v>
      </c>
      <c r="L9" s="318">
        <v>15</v>
      </c>
      <c r="M9" s="318">
        <v>32</v>
      </c>
      <c r="N9" s="319">
        <v>0.16666666666666666</v>
      </c>
      <c r="O9" s="319">
        <v>0.31372549019607843</v>
      </c>
      <c r="P9" s="3">
        <v>47</v>
      </c>
      <c r="Q9" s="58">
        <v>0.24479166666666666</v>
      </c>
    </row>
    <row r="10" spans="3:17" x14ac:dyDescent="0.35">
      <c r="C10" s="6">
        <v>3</v>
      </c>
      <c r="D10" s="318"/>
      <c r="E10" s="318">
        <v>3</v>
      </c>
      <c r="F10" s="319">
        <v>0</v>
      </c>
      <c r="G10" s="319">
        <v>3.4843205574912892E-3</v>
      </c>
      <c r="H10" s="3">
        <v>3</v>
      </c>
      <c r="I10" s="58">
        <v>1.893939393939394E-3</v>
      </c>
      <c r="K10" s="6" t="s">
        <v>802</v>
      </c>
      <c r="L10" s="318">
        <v>14</v>
      </c>
      <c r="M10" s="318">
        <v>16</v>
      </c>
      <c r="N10" s="319">
        <v>0.15555555555555556</v>
      </c>
      <c r="O10" s="319">
        <v>0.15686274509803921</v>
      </c>
      <c r="P10" s="3">
        <v>30</v>
      </c>
      <c r="Q10" s="58">
        <v>0.15625</v>
      </c>
    </row>
    <row r="11" spans="3:17" x14ac:dyDescent="0.35">
      <c r="C11" s="6">
        <v>4</v>
      </c>
      <c r="D11" s="318">
        <v>8</v>
      </c>
      <c r="E11" s="318">
        <v>8</v>
      </c>
      <c r="F11" s="319">
        <v>1.1065006915629323E-2</v>
      </c>
      <c r="G11" s="319">
        <v>9.2915214866434379E-3</v>
      </c>
      <c r="H11" s="3">
        <v>16</v>
      </c>
      <c r="I11" s="58">
        <v>1.0101010101010102E-2</v>
      </c>
      <c r="K11" s="6" t="s">
        <v>803</v>
      </c>
      <c r="L11" s="318">
        <v>7</v>
      </c>
      <c r="M11" s="318">
        <v>18</v>
      </c>
      <c r="N11" s="319">
        <v>7.7777777777777779E-2</v>
      </c>
      <c r="O11" s="319">
        <v>0.17647058823529413</v>
      </c>
      <c r="P11" s="3">
        <v>25</v>
      </c>
      <c r="Q11" s="58">
        <v>0.13020833333333334</v>
      </c>
    </row>
    <row r="12" spans="3:17" x14ac:dyDescent="0.35">
      <c r="C12" s="6">
        <v>5</v>
      </c>
      <c r="D12" s="318">
        <v>25</v>
      </c>
      <c r="E12" s="318">
        <v>15</v>
      </c>
      <c r="F12" s="319">
        <v>3.4578146611341634E-2</v>
      </c>
      <c r="G12" s="319">
        <v>1.7421602787456445E-2</v>
      </c>
      <c r="H12" s="3">
        <v>40</v>
      </c>
      <c r="I12" s="58">
        <v>2.5252525252525252E-2</v>
      </c>
      <c r="K12" s="6" t="s">
        <v>801</v>
      </c>
      <c r="L12" s="318">
        <v>23</v>
      </c>
      <c r="M12" s="318">
        <v>13</v>
      </c>
      <c r="N12" s="319">
        <v>0.25555555555555554</v>
      </c>
      <c r="O12" s="319">
        <v>0.12745098039215685</v>
      </c>
      <c r="P12" s="3">
        <v>36</v>
      </c>
      <c r="Q12" s="58">
        <v>0.1875</v>
      </c>
    </row>
    <row r="13" spans="3:17" x14ac:dyDescent="0.35">
      <c r="C13" s="6">
        <v>6</v>
      </c>
      <c r="D13" s="318">
        <v>42</v>
      </c>
      <c r="E13" s="318"/>
      <c r="F13" s="319">
        <v>5.8091286307053944E-2</v>
      </c>
      <c r="G13" s="319">
        <v>0</v>
      </c>
      <c r="H13" s="3">
        <v>42</v>
      </c>
      <c r="I13" s="58">
        <v>2.6515151515151516E-2</v>
      </c>
      <c r="K13" s="6" t="s">
        <v>1012</v>
      </c>
      <c r="L13" s="3">
        <v>90</v>
      </c>
      <c r="M13" s="3">
        <v>102</v>
      </c>
      <c r="N13" s="58">
        <v>1</v>
      </c>
      <c r="O13" s="58">
        <v>1</v>
      </c>
      <c r="P13" s="3">
        <v>192</v>
      </c>
      <c r="Q13" s="58">
        <v>1</v>
      </c>
    </row>
    <row r="14" spans="3:17" x14ac:dyDescent="0.35">
      <c r="C14" s="6">
        <v>7</v>
      </c>
      <c r="D14" s="318">
        <v>98</v>
      </c>
      <c r="E14" s="318">
        <v>98</v>
      </c>
      <c r="F14" s="319">
        <v>0.13554633471645919</v>
      </c>
      <c r="G14" s="319">
        <v>0.11382113821138211</v>
      </c>
      <c r="H14" s="3">
        <v>196</v>
      </c>
      <c r="I14" s="58">
        <v>0.12373737373737374</v>
      </c>
    </row>
    <row r="15" spans="3:17" x14ac:dyDescent="0.35">
      <c r="C15" s="6">
        <v>8</v>
      </c>
      <c r="D15" s="318">
        <v>48</v>
      </c>
      <c r="E15" s="318">
        <v>128</v>
      </c>
      <c r="F15" s="319">
        <v>6.6390041493775934E-2</v>
      </c>
      <c r="G15" s="319">
        <v>0.14866434378629501</v>
      </c>
      <c r="H15" s="3">
        <v>176</v>
      </c>
      <c r="I15" s="58">
        <v>0.1111111111111111</v>
      </c>
      <c r="K15" s="138"/>
      <c r="L15" s="302" t="s">
        <v>1014</v>
      </c>
      <c r="M15" s="138"/>
      <c r="N15" s="138"/>
      <c r="O15" s="138"/>
      <c r="P15" s="138"/>
      <c r="Q15" s="138"/>
    </row>
    <row r="16" spans="3:17" x14ac:dyDescent="0.35">
      <c r="C16" s="6">
        <v>9</v>
      </c>
      <c r="D16" s="318">
        <v>279</v>
      </c>
      <c r="E16" s="318">
        <v>387</v>
      </c>
      <c r="F16" s="319">
        <v>0.38589211618257263</v>
      </c>
      <c r="G16" s="319">
        <v>0.44947735191637633</v>
      </c>
      <c r="H16" s="3">
        <v>666</v>
      </c>
      <c r="I16" s="58">
        <v>0.42045454545454547</v>
      </c>
      <c r="K16" s="138"/>
      <c r="L16" s="138" t="s">
        <v>20</v>
      </c>
      <c r="M16" s="138"/>
      <c r="N16" s="138" t="s">
        <v>31</v>
      </c>
      <c r="O16" s="138"/>
      <c r="P16" s="138" t="s">
        <v>1019</v>
      </c>
      <c r="Q16" s="138" t="s">
        <v>1017</v>
      </c>
    </row>
    <row r="17" spans="3:17" x14ac:dyDescent="0.35">
      <c r="C17" s="6">
        <v>10</v>
      </c>
      <c r="D17" s="318">
        <v>220</v>
      </c>
      <c r="E17" s="318">
        <v>220</v>
      </c>
      <c r="F17" s="319">
        <v>0.30428769017980634</v>
      </c>
      <c r="G17" s="319">
        <v>0.25551684088269455</v>
      </c>
      <c r="H17" s="3">
        <v>440</v>
      </c>
      <c r="I17" s="58">
        <v>0.27777777777777779</v>
      </c>
      <c r="K17" s="302" t="s">
        <v>1011</v>
      </c>
      <c r="L17" s="138" t="s">
        <v>1020</v>
      </c>
      <c r="M17" s="138" t="s">
        <v>1018</v>
      </c>
      <c r="N17" s="138" t="s">
        <v>1020</v>
      </c>
      <c r="O17" s="138" t="s">
        <v>1018</v>
      </c>
      <c r="P17" s="138"/>
      <c r="Q17" s="138"/>
    </row>
    <row r="18" spans="3:17" x14ac:dyDescent="0.35">
      <c r="C18" s="6" t="s">
        <v>1012</v>
      </c>
      <c r="D18" s="3">
        <v>723</v>
      </c>
      <c r="E18" s="3">
        <v>861</v>
      </c>
      <c r="F18" s="58">
        <v>1</v>
      </c>
      <c r="G18" s="58">
        <v>1</v>
      </c>
      <c r="H18" s="3">
        <v>1584</v>
      </c>
      <c r="I18" s="58">
        <v>1</v>
      </c>
      <c r="K18" s="138" t="s">
        <v>799</v>
      </c>
      <c r="L18" s="306">
        <v>18</v>
      </c>
      <c r="M18" s="307">
        <v>0.2</v>
      </c>
      <c r="N18" s="306">
        <v>15</v>
      </c>
      <c r="O18" s="307">
        <v>0.14705882352941177</v>
      </c>
      <c r="P18" s="306">
        <v>33</v>
      </c>
      <c r="Q18" s="307">
        <v>0.171875</v>
      </c>
    </row>
    <row r="19" spans="3:17" x14ac:dyDescent="0.35">
      <c r="K19" s="138" t="s">
        <v>800</v>
      </c>
      <c r="L19" s="306">
        <v>13</v>
      </c>
      <c r="M19" s="307">
        <v>0.14444444444444443</v>
      </c>
      <c r="N19" s="306">
        <v>8</v>
      </c>
      <c r="O19" s="307">
        <v>7.8431372549019607E-2</v>
      </c>
      <c r="P19" s="306">
        <v>21</v>
      </c>
      <c r="Q19" s="307">
        <v>0.109375</v>
      </c>
    </row>
    <row r="20" spans="3:17" ht="29" x14ac:dyDescent="0.35">
      <c r="K20" s="337" t="s">
        <v>997</v>
      </c>
      <c r="L20" s="306">
        <v>15</v>
      </c>
      <c r="M20" s="307">
        <v>0.16666666666666666</v>
      </c>
      <c r="N20" s="306">
        <v>32</v>
      </c>
      <c r="O20" s="307">
        <v>0.31372549019607843</v>
      </c>
      <c r="P20" s="306">
        <v>47</v>
      </c>
      <c r="Q20" s="307">
        <v>0.24479166666666666</v>
      </c>
    </row>
    <row r="21" spans="3:17" x14ac:dyDescent="0.35">
      <c r="K21" s="138" t="s">
        <v>802</v>
      </c>
      <c r="L21" s="306">
        <v>14</v>
      </c>
      <c r="M21" s="307">
        <v>0.15555555555555556</v>
      </c>
      <c r="N21" s="306">
        <v>16</v>
      </c>
      <c r="O21" s="307">
        <v>0.15686274509803921</v>
      </c>
      <c r="P21" s="306">
        <v>30</v>
      </c>
      <c r="Q21" s="307">
        <v>0.15625</v>
      </c>
    </row>
    <row r="22" spans="3:17" x14ac:dyDescent="0.35">
      <c r="K22" s="138" t="s">
        <v>803</v>
      </c>
      <c r="L22" s="306">
        <v>7</v>
      </c>
      <c r="M22" s="307">
        <v>7.7777777777777779E-2</v>
      </c>
      <c r="N22" s="306">
        <v>18</v>
      </c>
      <c r="O22" s="307">
        <v>0.17647058823529413</v>
      </c>
      <c r="P22" s="306">
        <v>25</v>
      </c>
      <c r="Q22" s="307">
        <v>0.13020833333333334</v>
      </c>
    </row>
    <row r="23" spans="3:17" x14ac:dyDescent="0.35">
      <c r="K23" s="138" t="s">
        <v>801</v>
      </c>
      <c r="L23" s="306">
        <v>23</v>
      </c>
      <c r="M23" s="307">
        <v>0.25555555555555554</v>
      </c>
      <c r="N23" s="306">
        <v>13</v>
      </c>
      <c r="O23" s="307">
        <v>0.12745098039215685</v>
      </c>
      <c r="P23" s="306">
        <v>36</v>
      </c>
      <c r="Q23" s="307">
        <v>0.1875</v>
      </c>
    </row>
    <row r="24" spans="3:17" x14ac:dyDescent="0.35">
      <c r="K24" s="138" t="s">
        <v>1012</v>
      </c>
      <c r="L24" s="306">
        <v>90</v>
      </c>
      <c r="M24" s="307">
        <v>1</v>
      </c>
      <c r="N24" s="306">
        <v>102</v>
      </c>
      <c r="O24" s="307">
        <v>1</v>
      </c>
      <c r="P24" s="306">
        <v>192</v>
      </c>
      <c r="Q24" s="307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M48"/>
  <sheetViews>
    <sheetView showGridLines="0" topLeftCell="A16" zoomScale="90" zoomScaleNormal="90" workbookViewId="0">
      <selection activeCell="H16" sqref="H16"/>
    </sheetView>
  </sheetViews>
  <sheetFormatPr defaultColWidth="9.1796875" defaultRowHeight="14.5" x14ac:dyDescent="0.35"/>
  <cols>
    <col min="1" max="1" width="1.54296875" style="28" customWidth="1"/>
    <col min="2" max="2" width="16.54296875" style="28" customWidth="1"/>
    <col min="3" max="3" width="11.54296875" style="145" customWidth="1"/>
    <col min="4" max="23" width="11.54296875" style="28" customWidth="1"/>
    <col min="24" max="16384" width="9.1796875" style="28"/>
  </cols>
  <sheetData>
    <row r="1" spans="2:13" ht="7" customHeight="1" x14ac:dyDescent="0.35"/>
    <row r="2" spans="2:13" ht="18.5" x14ac:dyDescent="0.45">
      <c r="B2" s="19" t="s">
        <v>893</v>
      </c>
      <c r="C2" s="19"/>
      <c r="D2" s="19"/>
      <c r="F2" s="61"/>
    </row>
    <row r="3" spans="2:13" ht="15.5" x14ac:dyDescent="0.35">
      <c r="B3" s="154" t="s">
        <v>954</v>
      </c>
      <c r="C3" s="96"/>
      <c r="D3" s="17"/>
      <c r="E3" s="136"/>
      <c r="F3" s="88"/>
      <c r="G3" s="57"/>
      <c r="H3" s="14"/>
      <c r="I3" s="14"/>
      <c r="J3" s="14"/>
      <c r="K3" s="14"/>
      <c r="L3" s="14"/>
      <c r="M3" s="14"/>
    </row>
    <row r="4" spans="2:13" ht="15.5" x14ac:dyDescent="0.35">
      <c r="B4" s="9"/>
      <c r="C4" s="9"/>
      <c r="D4" s="9"/>
      <c r="G4" s="14"/>
    </row>
    <row r="5" spans="2:13" ht="18.5" x14ac:dyDescent="0.45">
      <c r="B5" s="193" t="s">
        <v>929</v>
      </c>
    </row>
    <row r="6" spans="2:13" x14ac:dyDescent="0.35">
      <c r="D6" s="146" t="s">
        <v>20</v>
      </c>
      <c r="E6" s="146" t="s">
        <v>31</v>
      </c>
      <c r="F6" s="146" t="s">
        <v>939</v>
      </c>
      <c r="G6" s="146" t="s">
        <v>940</v>
      </c>
    </row>
    <row r="7" spans="2:13" x14ac:dyDescent="0.35">
      <c r="B7" s="167" t="s">
        <v>930</v>
      </c>
      <c r="C7" s="168"/>
      <c r="D7" s="169">
        <f>'1.1 PPC Analyis'!E19</f>
        <v>1.1598676441357699E-2</v>
      </c>
      <c r="E7" s="169">
        <f>'1.1 PPC Analyis'!F19</f>
        <v>1.877532910933518E-2</v>
      </c>
      <c r="F7" s="169">
        <f>E7-D7</f>
        <v>7.176652667977481E-3</v>
      </c>
      <c r="G7" s="173" t="s">
        <v>31</v>
      </c>
    </row>
    <row r="8" spans="2:13" x14ac:dyDescent="0.35">
      <c r="B8" s="165" t="s">
        <v>931</v>
      </c>
      <c r="C8" s="166"/>
      <c r="D8" s="171">
        <f>'1.1 PPC Analyis'!E20</f>
        <v>1.6264280913978488</v>
      </c>
      <c r="E8" s="171">
        <f>'1.1 PPC Analyis'!F20</f>
        <v>2.0465533141210379</v>
      </c>
      <c r="F8" s="170">
        <f>E8-D8</f>
        <v>0.42012522272318908</v>
      </c>
      <c r="G8" s="174" t="s">
        <v>20</v>
      </c>
    </row>
    <row r="9" spans="2:13" x14ac:dyDescent="0.35">
      <c r="B9" s="167" t="s">
        <v>934</v>
      </c>
      <c r="C9" s="168"/>
      <c r="D9" s="169">
        <f>'1.1 PPC Analyis'!E21</f>
        <v>6.7708333333333329E-2</v>
      </c>
      <c r="E9" s="169">
        <f>'1.1 PPC Analyis'!F21</f>
        <v>0.10749279538904899</v>
      </c>
      <c r="F9" s="169">
        <f>E9-D9</f>
        <v>3.9784462055715661E-2</v>
      </c>
      <c r="G9" s="173" t="s">
        <v>31</v>
      </c>
    </row>
    <row r="10" spans="2:13" x14ac:dyDescent="0.35">
      <c r="B10" s="165" t="s">
        <v>932</v>
      </c>
      <c r="C10" s="166"/>
      <c r="D10" s="171">
        <f>'1.1 PPC Analyis'!E48</f>
        <v>24.021091811414383</v>
      </c>
      <c r="E10" s="171">
        <f>'1.1 PPC Analyis'!F48</f>
        <v>19.038981233243973</v>
      </c>
      <c r="F10" s="170">
        <f>E10-D10</f>
        <v>-4.9821105781704098</v>
      </c>
      <c r="G10" s="174" t="s">
        <v>31</v>
      </c>
    </row>
    <row r="11" spans="2:13" x14ac:dyDescent="0.35">
      <c r="B11" s="167" t="s">
        <v>933</v>
      </c>
      <c r="C11" s="168"/>
      <c r="D11" s="169">
        <f>'1.2 Customer Analysis'!E14</f>
        <v>0.30521091811414391</v>
      </c>
      <c r="E11" s="169">
        <f>'1.2 Customer Analysis'!F14</f>
        <v>0.34584450402144773</v>
      </c>
      <c r="F11" s="169">
        <f>E11-D11</f>
        <v>4.0633585907303815E-2</v>
      </c>
      <c r="G11" s="173" t="s">
        <v>31</v>
      </c>
    </row>
    <row r="12" spans="2:13" x14ac:dyDescent="0.35">
      <c r="B12" s="165" t="s">
        <v>935</v>
      </c>
      <c r="C12" s="166"/>
      <c r="D12" s="171">
        <f>'1.2 Customer Analysis'!E11</f>
        <v>78.703252032520297</v>
      </c>
      <c r="E12" s="171">
        <f>'1.2 Customer Analysis'!F11</f>
        <v>75.042635658914705</v>
      </c>
      <c r="F12" s="170">
        <f>E12-D12</f>
        <v>-3.6606163736055919</v>
      </c>
      <c r="G12" s="174" t="s">
        <v>31</v>
      </c>
    </row>
    <row r="13" spans="2:13" x14ac:dyDescent="0.35">
      <c r="B13" s="167" t="s">
        <v>936</v>
      </c>
      <c r="C13" s="168"/>
      <c r="D13" s="170">
        <f>'1.2 Customer Analysis'!E38</f>
        <v>242.22471166572132</v>
      </c>
      <c r="E13" s="170">
        <f>'1.2 Customer Analysis'!F38</f>
        <v>378.62275830151543</v>
      </c>
      <c r="F13" s="170">
        <f>E13-D13</f>
        <v>136.39804663579412</v>
      </c>
      <c r="G13" s="173" t="s">
        <v>31</v>
      </c>
    </row>
    <row r="14" spans="2:13" x14ac:dyDescent="0.35">
      <c r="B14" s="165" t="s">
        <v>937</v>
      </c>
      <c r="C14" s="166"/>
      <c r="D14" s="172">
        <f>'1.3 NPS'!E21</f>
        <v>0.4</v>
      </c>
      <c r="E14" s="172">
        <f>'1.3 NPS'!F21</f>
        <v>0.56862745098039214</v>
      </c>
      <c r="F14" s="169">
        <f>E14-D14</f>
        <v>0.16862745098039211</v>
      </c>
      <c r="G14" s="174" t="s">
        <v>31</v>
      </c>
    </row>
    <row r="15" spans="2:13" x14ac:dyDescent="0.35">
      <c r="B15" s="167" t="s">
        <v>938</v>
      </c>
      <c r="C15" s="168"/>
      <c r="D15" s="169">
        <f>'1.4 Survey Analysis'!E29</f>
        <v>0.62222222222222223</v>
      </c>
      <c r="E15" s="169">
        <f>'1.4 Survey Analysis'!F29</f>
        <v>0.70588235294117641</v>
      </c>
      <c r="F15" s="169">
        <f>E15-D15</f>
        <v>8.3660130718954173E-2</v>
      </c>
      <c r="G15" s="173" t="s">
        <v>31</v>
      </c>
    </row>
    <row r="17" spans="2:8" ht="18.5" x14ac:dyDescent="0.45">
      <c r="B17" s="193" t="s">
        <v>944</v>
      </c>
    </row>
    <row r="19" spans="2:8" x14ac:dyDescent="0.35">
      <c r="B19" s="190" t="s">
        <v>941</v>
      </c>
      <c r="C19" s="190" t="s">
        <v>942</v>
      </c>
      <c r="D19" s="191"/>
      <c r="E19" s="190" t="s">
        <v>943</v>
      </c>
      <c r="F19" s="191"/>
      <c r="G19" s="190" t="s">
        <v>945</v>
      </c>
      <c r="H19" s="192"/>
    </row>
    <row r="20" spans="2:8" ht="35.25" customHeight="1" x14ac:dyDescent="0.35">
      <c r="B20" s="175" t="str">
        <f>'1.5 Projections'!B22</f>
        <v>AdWords</v>
      </c>
      <c r="C20" s="176">
        <f>'1.5 Projections'!C22</f>
        <v>2000</v>
      </c>
      <c r="E20" s="178">
        <f>'1.5 Projections'!L22</f>
        <v>0.64222222222222225</v>
      </c>
      <c r="F20" s="138"/>
    </row>
    <row r="21" spans="2:8" ht="35.25" customHeight="1" x14ac:dyDescent="0.35">
      <c r="B21" s="175" t="str">
        <f>'1.5 Projections'!B23</f>
        <v>Facebook Ad</v>
      </c>
      <c r="C21" s="176">
        <f>'1.5 Projections'!C23</f>
        <v>4000</v>
      </c>
      <c r="E21" s="178">
        <f>'1.5 Projections'!L23</f>
        <v>0.72588235294117642</v>
      </c>
      <c r="F21" s="138"/>
      <c r="G21" s="178">
        <f>'1.5 Projections'!G28</f>
        <v>0.08</v>
      </c>
      <c r="H21" s="138"/>
    </row>
    <row r="22" spans="2:8" ht="35.25" customHeight="1" x14ac:dyDescent="0.35">
      <c r="B22" s="175" t="str">
        <f>'1.5 Projections'!B24</f>
        <v>LinkedIn Ad</v>
      </c>
      <c r="C22" s="176">
        <f>'1.5 Projections'!C24</f>
        <v>2000</v>
      </c>
      <c r="E22" s="178">
        <f>'1.5 Projections'!L24</f>
        <v>0.73</v>
      </c>
      <c r="G22" s="178">
        <f>'1.5 Projections'!G29</f>
        <v>0.08</v>
      </c>
      <c r="H22" s="138"/>
    </row>
    <row r="23" spans="2:8" ht="35.25" customHeight="1" x14ac:dyDescent="0.35">
      <c r="B23" s="175" t="str">
        <f>'1.5 Projections'!B25</f>
        <v>Instagram</v>
      </c>
      <c r="C23" s="176">
        <f>'1.5 Projections'!C25</f>
        <v>5000</v>
      </c>
      <c r="E23" s="178">
        <f>'1.5 Projections'!L25</f>
        <v>0.65</v>
      </c>
    </row>
    <row r="24" spans="2:8" ht="15" customHeight="1" x14ac:dyDescent="0.35">
      <c r="B24" s="175"/>
    </row>
    <row r="25" spans="2:8" ht="15" customHeight="1" x14ac:dyDescent="0.45">
      <c r="B25" s="193" t="s">
        <v>946</v>
      </c>
    </row>
    <row r="26" spans="2:8" ht="29" x14ac:dyDescent="0.35">
      <c r="D26" s="125" t="s">
        <v>871</v>
      </c>
      <c r="E26" s="125" t="s">
        <v>949</v>
      </c>
      <c r="F26" s="125" t="s">
        <v>950</v>
      </c>
      <c r="G26" s="125" t="s">
        <v>888</v>
      </c>
    </row>
    <row r="27" spans="2:8" x14ac:dyDescent="0.35">
      <c r="B27" s="163" t="s">
        <v>947</v>
      </c>
      <c r="C27" s="164"/>
      <c r="D27" s="134">
        <f>'1.5 Projections'!C113</f>
        <v>3.7925957910239063</v>
      </c>
      <c r="E27" s="179">
        <f>'1.5 Projections'!D113</f>
        <v>1697377.6759876339</v>
      </c>
      <c r="F27" s="179">
        <f>'1.5 Projections'!E113</f>
        <v>-4098455.6573457001</v>
      </c>
      <c r="G27" s="180">
        <f>'1.5 Projections'!F113</f>
        <v>4960.4449441049364</v>
      </c>
    </row>
    <row r="28" spans="2:8" x14ac:dyDescent="0.35">
      <c r="B28" s="163" t="s">
        <v>948</v>
      </c>
      <c r="C28" s="164"/>
      <c r="D28" s="134">
        <f>'1.5 Projections'!C114</f>
        <v>12.427385374927685</v>
      </c>
      <c r="E28" s="179">
        <f>'1.5 Projections'!D114</f>
        <v>5986375.9796552574</v>
      </c>
      <c r="F28" s="179">
        <f>'1.5 Projections'!E114</f>
        <v>190542.64632192347</v>
      </c>
      <c r="G28" s="180">
        <f>'1.5 Projections'!F114</f>
        <v>18972.840576445138</v>
      </c>
    </row>
    <row r="29" spans="2:8" x14ac:dyDescent="0.35">
      <c r="B29" s="182" t="s">
        <v>951</v>
      </c>
      <c r="C29" s="183"/>
      <c r="D29" s="184">
        <f>D28-D27</f>
        <v>8.6347895839037783</v>
      </c>
      <c r="E29" s="185">
        <f>E28-E27</f>
        <v>4288998.3036676235</v>
      </c>
      <c r="F29" s="185">
        <f>F28-F27</f>
        <v>4288998.3036676235</v>
      </c>
      <c r="G29" s="186">
        <f>G28-G27</f>
        <v>14012.395632340202</v>
      </c>
    </row>
    <row r="30" spans="2:8" x14ac:dyDescent="0.35">
      <c r="B30" s="187" t="s">
        <v>952</v>
      </c>
      <c r="C30" s="188"/>
      <c r="D30" s="338">
        <f>D29/D27</f>
        <v>2.2767492397529137</v>
      </c>
      <c r="E30" s="189">
        <f>E29/E27</f>
        <v>2.5268379361546822</v>
      </c>
      <c r="F30" s="189">
        <f>F29/F27</f>
        <v>-1.046491328015325</v>
      </c>
      <c r="G30" s="189">
        <f>G29/G27</f>
        <v>2.8248263593758325</v>
      </c>
    </row>
    <row r="32" spans="2:8" x14ac:dyDescent="0.35">
      <c r="B32" s="181" t="str">
        <f>'1.5 Projections'!B115</f>
        <v>ROI: Facebook follower growth vs. LinkedIn follower growth</v>
      </c>
    </row>
    <row r="33" spans="2:8" x14ac:dyDescent="0.35">
      <c r="B33" s="141"/>
      <c r="C33" s="141"/>
      <c r="D33" s="144" t="str">
        <f>'1.5 Projections'!D116</f>
        <v>Facebook Follower Growth</v>
      </c>
      <c r="E33" s="142"/>
      <c r="F33" s="142"/>
      <c r="G33" s="142"/>
      <c r="H33" s="142"/>
    </row>
    <row r="34" spans="2:8" x14ac:dyDescent="0.35">
      <c r="B34" s="143"/>
      <c r="C34" s="140">
        <f>'1.5 Projections'!C117</f>
        <v>0</v>
      </c>
      <c r="D34" s="139">
        <f>'1.5 Projections'!D117</f>
        <v>3.9999999999999994E-2</v>
      </c>
      <c r="E34" s="139">
        <f>'1.5 Projections'!E117</f>
        <v>0.06</v>
      </c>
      <c r="F34" s="139">
        <f>'1.5 Projections'!F117</f>
        <v>0.08</v>
      </c>
      <c r="G34" s="139">
        <f>'1.5 Projections'!G117</f>
        <v>0.1</v>
      </c>
      <c r="H34" s="139">
        <f>'1.5 Projections'!H117</f>
        <v>0.12000000000000001</v>
      </c>
    </row>
    <row r="35" spans="2:8" x14ac:dyDescent="0.35">
      <c r="B35" s="334" t="str">
        <f>'1.5 Projections'!B118</f>
        <v>LinkedIn Follower Growth</v>
      </c>
      <c r="C35" s="139">
        <f>'1.5 Projections'!C118</f>
        <v>3.9999999999999994E-2</v>
      </c>
      <c r="D35" s="137">
        <f>'1.5 Projections'!D118</f>
        <v>0</v>
      </c>
      <c r="E35" s="137">
        <f>'1.5 Projections'!E118</f>
        <v>0</v>
      </c>
      <c r="F35" s="137">
        <f>'1.5 Projections'!F118</f>
        <v>0</v>
      </c>
      <c r="G35" s="137">
        <f>'1.5 Projections'!G118</f>
        <v>0</v>
      </c>
      <c r="H35" s="137">
        <f>'1.5 Projections'!H118</f>
        <v>0</v>
      </c>
    </row>
    <row r="36" spans="2:8" x14ac:dyDescent="0.35">
      <c r="B36" s="334"/>
      <c r="C36" s="139">
        <f>'1.5 Projections'!C119</f>
        <v>0.06</v>
      </c>
      <c r="D36" s="137">
        <f>'1.5 Projections'!D119</f>
        <v>0</v>
      </c>
      <c r="E36" s="137">
        <f>'1.5 Projections'!E119</f>
        <v>0</v>
      </c>
      <c r="F36" s="137">
        <f>'1.5 Projections'!F119</f>
        <v>0</v>
      </c>
      <c r="G36" s="137">
        <f>'1.5 Projections'!G119</f>
        <v>0</v>
      </c>
      <c r="H36" s="137">
        <f>'1.5 Projections'!H119</f>
        <v>0</v>
      </c>
    </row>
    <row r="37" spans="2:8" x14ac:dyDescent="0.35">
      <c r="B37" s="334"/>
      <c r="C37" s="139">
        <f>'1.5 Projections'!C120</f>
        <v>0.08</v>
      </c>
      <c r="D37" s="137">
        <f>'1.5 Projections'!D120</f>
        <v>0</v>
      </c>
      <c r="E37" s="137">
        <f>'1.5 Projections'!E120</f>
        <v>0</v>
      </c>
      <c r="F37" s="137">
        <f>'1.5 Projections'!F120</f>
        <v>0</v>
      </c>
      <c r="G37" s="137">
        <f>'1.5 Projections'!G120</f>
        <v>0</v>
      </c>
      <c r="H37" s="137">
        <f>'1.5 Projections'!H120</f>
        <v>0</v>
      </c>
    </row>
    <row r="38" spans="2:8" x14ac:dyDescent="0.35">
      <c r="B38" s="334"/>
      <c r="C38" s="139">
        <f>'1.5 Projections'!C121</f>
        <v>0.1</v>
      </c>
      <c r="D38" s="137">
        <f>'1.5 Projections'!D121</f>
        <v>0</v>
      </c>
      <c r="E38" s="137">
        <f>'1.5 Projections'!E121</f>
        <v>0</v>
      </c>
      <c r="F38" s="137">
        <f>'1.5 Projections'!F121</f>
        <v>0</v>
      </c>
      <c r="G38" s="137">
        <f>'1.5 Projections'!G121</f>
        <v>0</v>
      </c>
      <c r="H38" s="137">
        <f>'1.5 Projections'!H121</f>
        <v>0</v>
      </c>
    </row>
    <row r="39" spans="2:8" x14ac:dyDescent="0.35">
      <c r="B39" s="334"/>
      <c r="C39" s="139">
        <f>'1.5 Projections'!C122</f>
        <v>0.12000000000000001</v>
      </c>
      <c r="D39" s="137">
        <f>'1.5 Projections'!D122</f>
        <v>0</v>
      </c>
      <c r="E39" s="137">
        <f>'1.5 Projections'!E122</f>
        <v>0</v>
      </c>
      <c r="F39" s="137">
        <f>'1.5 Projections'!F122</f>
        <v>0</v>
      </c>
      <c r="G39" s="137">
        <f>'1.5 Projections'!G122</f>
        <v>0</v>
      </c>
      <c r="H39" s="137">
        <f>'1.5 Projections'!H122</f>
        <v>0</v>
      </c>
    </row>
    <row r="40" spans="2:8" x14ac:dyDescent="0.35">
      <c r="B40" s="145"/>
      <c r="D40" s="145"/>
      <c r="E40" s="145"/>
      <c r="F40" s="145"/>
      <c r="G40" s="145"/>
      <c r="H40" s="145"/>
    </row>
    <row r="41" spans="2:8" x14ac:dyDescent="0.35">
      <c r="B41" s="181" t="str">
        <f>'1.5 Projections'!B124</f>
        <v>ROI: Facebook conversion increase vs. AdWords conversion increase</v>
      </c>
      <c r="D41" s="145"/>
      <c r="E41" s="145"/>
      <c r="F41" s="145"/>
      <c r="G41" s="145"/>
      <c r="H41" s="145"/>
    </row>
    <row r="42" spans="2:8" x14ac:dyDescent="0.35">
      <c r="B42" s="141"/>
      <c r="C42" s="141"/>
      <c r="D42" s="144" t="str">
        <f>'1.5 Projections'!D125</f>
        <v>Facebook Conversion Increase</v>
      </c>
      <c r="E42" s="142"/>
      <c r="F42" s="142"/>
      <c r="G42" s="142"/>
      <c r="H42" s="142"/>
    </row>
    <row r="43" spans="2:8" x14ac:dyDescent="0.35">
      <c r="B43" s="143"/>
      <c r="C43" s="140">
        <f>'1.5 Projections'!C126</f>
        <v>0</v>
      </c>
      <c r="D43" s="139">
        <f>'1.5 Projections'!D126</f>
        <v>9.9999999999999967E-3</v>
      </c>
      <c r="E43" s="139">
        <f>'1.5 Projections'!E126</f>
        <v>1.9999999999999997E-2</v>
      </c>
      <c r="F43" s="139">
        <f>'1.5 Projections'!F126</f>
        <v>0.03</v>
      </c>
      <c r="G43" s="139">
        <f>'1.5 Projections'!G126</f>
        <v>0.04</v>
      </c>
      <c r="H43" s="139">
        <f>'1.5 Projections'!H126</f>
        <v>0.05</v>
      </c>
    </row>
    <row r="44" spans="2:8" x14ac:dyDescent="0.35">
      <c r="B44" s="334" t="str">
        <f>'1.5 Projections'!B127</f>
        <v>AdWords Conversion Increase</v>
      </c>
      <c r="C44" s="139">
        <f>'1.5 Projections'!C127</f>
        <v>0</v>
      </c>
      <c r="D44" s="137">
        <f>'1.5 Projections'!D127</f>
        <v>0</v>
      </c>
      <c r="E44" s="137">
        <f>'1.5 Projections'!E127</f>
        <v>0</v>
      </c>
      <c r="F44" s="137">
        <f>'1.5 Projections'!F127</f>
        <v>0</v>
      </c>
      <c r="G44" s="137">
        <f>'1.5 Projections'!G127</f>
        <v>0</v>
      </c>
      <c r="H44" s="137">
        <f>'1.5 Projections'!H127</f>
        <v>0</v>
      </c>
    </row>
    <row r="45" spans="2:8" x14ac:dyDescent="0.35">
      <c r="B45" s="334"/>
      <c r="C45" s="139">
        <f>'1.5 Projections'!C128</f>
        <v>0.01</v>
      </c>
      <c r="D45" s="137">
        <f>'1.5 Projections'!D128</f>
        <v>0</v>
      </c>
      <c r="E45" s="137">
        <f>'1.5 Projections'!E128</f>
        <v>0</v>
      </c>
      <c r="F45" s="137">
        <f>'1.5 Projections'!F128</f>
        <v>0</v>
      </c>
      <c r="G45" s="137">
        <f>'1.5 Projections'!G128</f>
        <v>0</v>
      </c>
      <c r="H45" s="137">
        <f>'1.5 Projections'!H128</f>
        <v>0</v>
      </c>
    </row>
    <row r="46" spans="2:8" x14ac:dyDescent="0.35">
      <c r="B46" s="334"/>
      <c r="C46" s="139">
        <f>'1.5 Projections'!C129</f>
        <v>0.02</v>
      </c>
      <c r="D46" s="137">
        <f>'1.5 Projections'!D129</f>
        <v>0</v>
      </c>
      <c r="E46" s="137">
        <f>'1.5 Projections'!E129</f>
        <v>0</v>
      </c>
      <c r="F46" s="137">
        <f>'1.5 Projections'!F129</f>
        <v>0</v>
      </c>
      <c r="G46" s="137">
        <f>'1.5 Projections'!G129</f>
        <v>0</v>
      </c>
      <c r="H46" s="137">
        <f>'1.5 Projections'!H129</f>
        <v>0</v>
      </c>
    </row>
    <row r="47" spans="2:8" x14ac:dyDescent="0.35">
      <c r="B47" s="334"/>
      <c r="C47" s="139">
        <f>'1.5 Projections'!C130</f>
        <v>0.03</v>
      </c>
      <c r="D47" s="137">
        <f>'1.5 Projections'!D130</f>
        <v>0</v>
      </c>
      <c r="E47" s="137">
        <f>'1.5 Projections'!E130</f>
        <v>0</v>
      </c>
      <c r="F47" s="137">
        <f>'1.5 Projections'!F130</f>
        <v>0</v>
      </c>
      <c r="G47" s="137">
        <f>'1.5 Projections'!G130</f>
        <v>0</v>
      </c>
      <c r="H47" s="137">
        <f>'1.5 Projections'!H130</f>
        <v>0</v>
      </c>
    </row>
    <row r="48" spans="2:8" x14ac:dyDescent="0.35">
      <c r="B48" s="334"/>
      <c r="C48" s="139">
        <f>'1.5 Projections'!C131</f>
        <v>0.04</v>
      </c>
      <c r="D48" s="137">
        <f>'1.5 Projections'!D131</f>
        <v>0</v>
      </c>
      <c r="E48" s="137">
        <f>'1.5 Projections'!E131</f>
        <v>0</v>
      </c>
      <c r="F48" s="137">
        <f>'1.5 Projections'!F131</f>
        <v>0</v>
      </c>
      <c r="G48" s="137">
        <f>'1.5 Projections'!G131</f>
        <v>0</v>
      </c>
      <c r="H48" s="137">
        <f>'1.5 Projections'!H131</f>
        <v>0</v>
      </c>
    </row>
  </sheetData>
  <mergeCells count="2">
    <mergeCell ref="B35:B39"/>
    <mergeCell ref="B44:B48"/>
  </mergeCells>
  <conditionalFormatting sqref="G7:G15">
    <cfRule type="cellIs" dxfId="0" priority="1" operator="equal">
      <formula>"Facebook"</formula>
    </cfRule>
  </conditionalFormatting>
  <pageMargins left="0.7" right="0.7" top="0.75" bottom="0.75" header="0.3" footer="0.3"/>
  <pageSetup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"/>
  <sheetViews>
    <sheetView tabSelected="1" zoomScale="59" zoomScaleNormal="59" workbookViewId="0">
      <selection activeCell="AD10" sqref="AD10"/>
    </sheetView>
  </sheetViews>
  <sheetFormatPr defaultRowHeight="14.5" x14ac:dyDescent="0.35"/>
  <cols>
    <col min="1" max="16384" width="8.7265625" style="339"/>
  </cols>
  <sheetData>
    <row r="1" spans="1:15" x14ac:dyDescent="0.35">
      <c r="A1" s="340" t="s">
        <v>1045</v>
      </c>
      <c r="B1" s="341"/>
      <c r="C1" s="341"/>
      <c r="D1" s="341"/>
      <c r="E1" s="341"/>
      <c r="F1" s="341"/>
      <c r="G1" s="341"/>
      <c r="H1" s="341"/>
      <c r="I1" s="341"/>
      <c r="J1" s="341"/>
      <c r="K1" s="341"/>
      <c r="L1" s="341"/>
      <c r="M1" s="341"/>
      <c r="N1" s="341"/>
      <c r="O1" s="341"/>
    </row>
    <row r="3" spans="1:15" ht="15" thickBot="1" x14ac:dyDescent="0.4">
      <c r="A3" s="340" t="s">
        <v>1044</v>
      </c>
      <c r="B3" s="340"/>
      <c r="C3" s="340"/>
      <c r="E3" s="340" t="s">
        <v>33</v>
      </c>
      <c r="F3" s="340"/>
      <c r="G3" s="340"/>
      <c r="I3" s="340" t="s">
        <v>34</v>
      </c>
      <c r="J3" s="340"/>
      <c r="K3" s="340"/>
      <c r="M3" s="340" t="s">
        <v>26</v>
      </c>
      <c r="N3" s="340"/>
      <c r="O3" s="340"/>
    </row>
    <row r="4" spans="1:15" x14ac:dyDescent="0.35">
      <c r="A4" s="347" t="s">
        <v>20</v>
      </c>
      <c r="C4" s="348" t="s">
        <v>31</v>
      </c>
      <c r="E4" s="347" t="s">
        <v>20</v>
      </c>
      <c r="G4" s="348" t="s">
        <v>31</v>
      </c>
      <c r="I4" s="347" t="s">
        <v>20</v>
      </c>
      <c r="K4" s="348" t="s">
        <v>31</v>
      </c>
      <c r="M4" s="347" t="s">
        <v>20</v>
      </c>
      <c r="O4" s="348" t="s">
        <v>31</v>
      </c>
    </row>
    <row r="5" spans="1:15" x14ac:dyDescent="0.35">
      <c r="A5" s="346">
        <f>'1.1 PPC Analyis'!E15</f>
        <v>9680.4999999999964</v>
      </c>
      <c r="C5" s="346">
        <f>'1.1 PPC Analyis'!F15</f>
        <v>7101.5400000000009</v>
      </c>
      <c r="E5" s="345">
        <f>'1.1 PPC Analyis'!E19</f>
        <v>1.1598676441357699E-2</v>
      </c>
      <c r="G5" s="345">
        <f>'1.1 PPC Analyis'!F19</f>
        <v>1.877532910933518E-2</v>
      </c>
      <c r="I5" s="344">
        <f>'1.1 PPC Analyis'!E20</f>
        <v>1.6264280913978488</v>
      </c>
      <c r="K5" s="344">
        <f>'1.1 PPC Analyis'!F20</f>
        <v>2.0465533141210379</v>
      </c>
      <c r="M5" s="343">
        <f>'1.1 PPC Analyis'!E21</f>
        <v>6.7708333333333329E-2</v>
      </c>
      <c r="O5" s="342">
        <f>'1.1 PPC Analyis'!F21</f>
        <v>0.10749279538904899</v>
      </c>
    </row>
  </sheetData>
  <mergeCells count="5">
    <mergeCell ref="A3:C3"/>
    <mergeCell ref="E3:G3"/>
    <mergeCell ref="I3:K3"/>
    <mergeCell ref="M3:O3"/>
    <mergeCell ref="A1:O1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item1.xml>�� 
</file>

<file path=customXml/item2.xml>�� 
</file>

<file path=customXml/item3.xml><?xml version="1.0" encoding="utf-8"?>
<ArgusExcelOBA xmlns="urn:argussoftware-com.Argus.ExcelOBA"/>
</file>

<file path=customXml/item4.xml>�� 
</file>

<file path=customXml/item5.xml>�� 
</file>

<file path=customXml/item6.xml>�� 
</file>

<file path=customXml/item7.xml>�� 
</file>

<file path=customXml/itemProps1.xml><?xml version="1.0" encoding="utf-8"?>
<ds:datastoreItem xmlns:ds="http://schemas.openxmlformats.org/officeDocument/2006/customXml" ds:itemID="{DC4926C2-033D-4A30-A5D6-4C25C7B549B3}">
  <ds:schemaRefs/>
</ds:datastoreItem>
</file>

<file path=customXml/itemProps2.xml><?xml version="1.0" encoding="utf-8"?>
<ds:datastoreItem xmlns:ds="http://schemas.openxmlformats.org/officeDocument/2006/customXml" ds:itemID="{6BEABE67-B231-435E-BD28-A465AED9F9C9}">
  <ds:schemaRefs/>
</ds:datastoreItem>
</file>

<file path=customXml/itemProps3.xml><?xml version="1.0" encoding="utf-8"?>
<ds:datastoreItem xmlns:ds="http://schemas.openxmlformats.org/officeDocument/2006/customXml" ds:itemID="{2146E3FB-3309-45F0-B296-7C788E5A9443}">
  <ds:schemaRefs>
    <ds:schemaRef ds:uri="urn:argussoftware-com.Argus.ExcelOBA"/>
  </ds:schemaRefs>
</ds:datastoreItem>
</file>

<file path=customXml/itemProps4.xml><?xml version="1.0" encoding="utf-8"?>
<ds:datastoreItem xmlns:ds="http://schemas.openxmlformats.org/officeDocument/2006/customXml" ds:itemID="{698F397A-02CD-4268-8163-69CA125AFBA3}">
  <ds:schemaRefs/>
</ds:datastoreItem>
</file>

<file path=customXml/itemProps5.xml><?xml version="1.0" encoding="utf-8"?>
<ds:datastoreItem xmlns:ds="http://schemas.openxmlformats.org/officeDocument/2006/customXml" ds:itemID="{5086BEC4-224D-47D6-9584-1AACB2377E3E}">
  <ds:schemaRefs/>
</ds:datastoreItem>
</file>

<file path=customXml/itemProps6.xml><?xml version="1.0" encoding="utf-8"?>
<ds:datastoreItem xmlns:ds="http://schemas.openxmlformats.org/officeDocument/2006/customXml" ds:itemID="{C998E962-7B9A-4164-88F7-49970579AE44}">
  <ds:schemaRefs/>
</ds:datastoreItem>
</file>

<file path=customXml/itemProps7.xml><?xml version="1.0" encoding="utf-8"?>
<ds:datastoreItem xmlns:ds="http://schemas.openxmlformats.org/officeDocument/2006/customXml" ds:itemID="{9F9ECEBC-C05F-4AB8-A8C9-38BC8A1590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25</vt:i4>
      </vt:variant>
    </vt:vector>
  </HeadingPairs>
  <TitlesOfParts>
    <vt:vector size="38" baseType="lpstr">
      <vt:lpstr>Introduction</vt:lpstr>
      <vt:lpstr>PPC Data</vt:lpstr>
      <vt:lpstr>1.1 PPC Analyis</vt:lpstr>
      <vt:lpstr>Lead Data</vt:lpstr>
      <vt:lpstr>Survey Data</vt:lpstr>
      <vt:lpstr>1.2 Customer Analysis</vt:lpstr>
      <vt:lpstr>1.3 NPS</vt:lpstr>
      <vt:lpstr>1.4 Survey Analysis</vt:lpstr>
      <vt:lpstr>1.5 Ad Channel Data</vt:lpstr>
      <vt:lpstr>1.5 Projections</vt:lpstr>
      <vt:lpstr>Pivots</vt:lpstr>
      <vt:lpstr>Dashboard</vt:lpstr>
      <vt:lpstr>Visualization</vt:lpstr>
      <vt:lpstr>ADWORDS_CONVERSIONS</vt:lpstr>
      <vt:lpstr>Age</vt:lpstr>
      <vt:lpstr>agegroups</vt:lpstr>
      <vt:lpstr>AW_Campaign</vt:lpstr>
      <vt:lpstr>AW_Clicks</vt:lpstr>
      <vt:lpstr>AW_Conf</vt:lpstr>
      <vt:lpstr>AW_Cong</vt:lpstr>
      <vt:lpstr>AW_Conversions</vt:lpstr>
      <vt:lpstr>AW_Cost</vt:lpstr>
      <vt:lpstr>AW_CTR</vt:lpstr>
      <vt:lpstr>AW_Impressions</vt:lpstr>
      <vt:lpstr>Date</vt:lpstr>
      <vt:lpstr>days_to_purchase</vt:lpstr>
      <vt:lpstr>FB_Campaign</vt:lpstr>
      <vt:lpstr>FB_Clicks</vt:lpstr>
      <vt:lpstr>FB_Conversions</vt:lpstr>
      <vt:lpstr>FB_Cost</vt:lpstr>
      <vt:lpstr>FB_Impressions</vt:lpstr>
      <vt:lpstr>Lead_Source</vt:lpstr>
      <vt:lpstr>Promoter_Score</vt:lpstr>
      <vt:lpstr>Purchases</vt:lpstr>
      <vt:lpstr>Scenario</vt:lpstr>
      <vt:lpstr>Survey_Lead_Source</vt:lpstr>
      <vt:lpstr>touch_points</vt:lpstr>
      <vt:lpstr>TouchPoints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Asad Raza</dc:creator>
  <cp:lastModifiedBy>MC</cp:lastModifiedBy>
  <cp:lastPrinted>2020-08-18T22:09:06Z</cp:lastPrinted>
  <dcterms:created xsi:type="dcterms:W3CDTF">2017-01-09T21:01:28Z</dcterms:created>
  <dcterms:modified xsi:type="dcterms:W3CDTF">2024-10-28T19:06:09Z</dcterms:modified>
</cp:coreProperties>
</file>